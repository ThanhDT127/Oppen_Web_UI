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Form Test Tính Năng" sheetId="2" state="visible" r:id="rId2"/>
    <sheet xmlns:r="http://schemas.openxmlformats.org/officeDocument/2006/relationships" name="Form Test Nghiệp Vụ" sheetId="3" state="visible" r:id="rId3"/>
    <sheet xmlns:r="http://schemas.openxmlformats.org/officeDocument/2006/relationships" name="Tổng hợp" sheetId="4" state="visible" r:id="rId4"/>
  </sheets>
  <definedNames>
    <definedName name="_xlnm._FilterDatabase" localSheetId="1" hidden="1">'Form Test Tính Năng'!$A$3:$M$108</definedName>
    <definedName name="_xlnm._FilterDatabase" localSheetId="2" hidden="1">'Form Test Nghiệp Vụ'!$A$3:$N$59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sz val="9"/>
    </font>
    <font>
      <name val="Arial"/>
      <sz val="9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548235"/>
      <sz val="10"/>
    </font>
    <font>
      <name val="Arial"/>
      <b val="1"/>
      <color rgb="001F4E79"/>
      <sz val="10"/>
    </font>
  </fonts>
  <fills count="2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EBF5EB"/>
      </patternFill>
    </fill>
    <fill>
      <patternFill patternType="solid">
        <fgColor rgb="00FFF8E7"/>
      </patternFill>
    </fill>
    <fill>
      <patternFill patternType="solid">
        <fgColor rgb="00F5F0FF"/>
      </patternFill>
    </fill>
    <fill>
      <patternFill patternType="solid">
        <fgColor rgb="00FFF0F0"/>
      </patternFill>
    </fill>
    <fill>
      <patternFill patternType="solid">
        <fgColor rgb="00F0FAFF"/>
      </patternFill>
    </fill>
    <fill>
      <patternFill patternType="solid">
        <fgColor rgb="00FFFBF0"/>
      </patternFill>
    </fill>
    <fill>
      <patternFill patternType="solid">
        <fgColor rgb="00F0FFF4"/>
      </patternFill>
    </fill>
    <fill>
      <patternFill patternType="solid">
        <fgColor rgb="00C0504D"/>
      </patternFill>
    </fill>
    <fill>
      <patternFill patternType="solid">
        <fgColor rgb="00FFF5F8"/>
      </patternFill>
    </fill>
    <fill>
      <patternFill patternType="solid">
        <fgColor rgb="00F5F5F5"/>
      </patternFill>
    </fill>
    <fill>
      <patternFill patternType="solid">
        <fgColor rgb="00FFFAE6"/>
      </patternFill>
    </fill>
    <fill>
      <patternFill patternType="solid">
        <fgColor rgb="00F0F8FF"/>
      </patternFill>
    </fill>
    <fill>
      <patternFill patternType="solid">
        <fgColor rgb="00FFF0F5"/>
      </patternFill>
    </fill>
    <fill>
      <patternFill patternType="solid">
        <fgColor rgb="00E2EFDA"/>
      </patternFill>
    </fill>
    <fill>
      <patternFill patternType="solid">
        <fgColor rgb="00F9F9F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164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 wrapText="1"/>
    </xf>
    <xf numFmtId="164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164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 wrapText="1"/>
    </xf>
    <xf numFmtId="164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  <xf numFmtId="164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center" wrapText="1"/>
    </xf>
    <xf numFmtId="164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center" wrapText="1"/>
    </xf>
    <xf numFmtId="164" fontId="4" fillId="14" borderId="1" applyAlignment="1" pivotButton="0" quotePrefix="0" xfId="0">
      <alignment vertical="center" wrapText="1"/>
    </xf>
    <xf numFmtId="0" fontId="7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164" fontId="0" fillId="15" borderId="0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vertical="center" wrapText="1"/>
    </xf>
    <xf numFmtId="164" fontId="4" fillId="16" borderId="1" applyAlignment="1" pivotButton="0" quotePrefix="0" xfId="0">
      <alignment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center" wrapText="1"/>
    </xf>
    <xf numFmtId="164" fontId="4" fillId="17" borderId="1" applyAlignment="1" pivotButton="0" quotePrefix="0" xfId="0">
      <alignment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center" wrapText="1"/>
    </xf>
    <xf numFmtId="164" fontId="4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vertical="center" wrapText="1"/>
    </xf>
    <xf numFmtId="164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vertical="center" wrapText="1"/>
    </xf>
    <xf numFmtId="164" fontId="4" fillId="20" borderId="1" applyAlignment="1" pivotButton="0" quotePrefix="0" xfId="0">
      <alignment vertical="center" wrapText="1"/>
    </xf>
    <xf numFmtId="164" fontId="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 wrapText="1"/>
    </xf>
    <xf numFmtId="0" fontId="9" fillId="21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4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vertical="center" wrapText="1"/>
    </xf>
    <xf numFmtId="164" fontId="4" fillId="22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1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</cols>
  <sheetData>
    <row r="1" ht="36" customHeight="1">
      <c r="A1" s="1" t="inlineStr">
        <is>
          <t>HƯỚNG DẪN SỬ DỤNG FORM KIỂM THỬ</t>
        </is>
      </c>
      <c r="B1" s="2" t="n"/>
      <c r="C1" s="2" t="n"/>
    </row>
    <row r="3">
      <c r="A3" s="3" t="inlineStr">
        <is>
          <t>1. KÝ HIỆU KẾT QUẢ</t>
        </is>
      </c>
      <c r="B3" s="4" t="n"/>
      <c r="C3" s="4" t="n"/>
    </row>
    <row r="4">
      <c r="B4" s="5" t="inlineStr">
        <is>
          <t>✅ PASS</t>
        </is>
      </c>
      <c r="C4" s="6" t="inlineStr">
        <is>
          <t>Tính năng hoạt động đúng kỳ vọng</t>
        </is>
      </c>
    </row>
    <row r="5">
      <c r="B5" s="5" t="inlineStr">
        <is>
          <t>❌ FAIL</t>
        </is>
      </c>
      <c r="C5" s="6" t="inlineStr">
        <is>
          <t>Tính năng không hoạt động hoặc sai kỳ vọng</t>
        </is>
      </c>
    </row>
    <row r="6">
      <c r="B6" s="5" t="inlineStr">
        <is>
          <t>⚠️ PARTIAL</t>
        </is>
      </c>
      <c r="C6" s="6" t="inlineStr">
        <is>
          <t>Hoạt động một phần, cần ghi chú chi tiết</t>
        </is>
      </c>
    </row>
    <row r="7">
      <c r="B7" s="5" t="inlineStr">
        <is>
          <t>⏳ SKIP</t>
        </is>
      </c>
      <c r="C7" s="6" t="inlineStr">
        <is>
          <t>Chưa test / Bỏ qua</t>
        </is>
      </c>
    </row>
    <row r="9">
      <c r="A9" s="3" t="inlineStr">
        <is>
          <t>2. THANG ĐÁNH GIÁ (1-5)</t>
        </is>
      </c>
      <c r="B9" s="4" t="n"/>
      <c r="C9" s="4" t="n"/>
    </row>
    <row r="10">
      <c r="B10" s="5" t="inlineStr">
        <is>
          <t>1 - Rất kém</t>
        </is>
      </c>
      <c r="C10" s="6" t="inlineStr">
        <is>
          <t>Không hoạt động, lỗi nghiêm trọng</t>
        </is>
      </c>
    </row>
    <row r="11">
      <c r="B11" s="5" t="inlineStr">
        <is>
          <t>2 - Kém</t>
        </is>
      </c>
      <c r="C11" s="6" t="inlineStr">
        <is>
          <t>Hoạt động nhưng nhiều lỗi, khó dùng</t>
        </is>
      </c>
    </row>
    <row r="12">
      <c r="B12" s="5" t="inlineStr">
        <is>
          <t>3 - Trung bình</t>
        </is>
      </c>
      <c r="C12" s="6" t="inlineStr">
        <is>
          <t>Hoạt động cơ bản, cần cải thiện</t>
        </is>
      </c>
    </row>
    <row r="13">
      <c r="B13" s="5" t="inlineStr">
        <is>
          <t>4 - Tốt</t>
        </is>
      </c>
      <c r="C13" s="6" t="inlineStr">
        <is>
          <t>Hoạt động tốt, ít lỗi nhỏ</t>
        </is>
      </c>
    </row>
    <row r="14">
      <c r="B14" s="5" t="inlineStr">
        <is>
          <t>5 - Xuất sắc</t>
        </is>
      </c>
      <c r="C14" s="6" t="inlineStr">
        <is>
          <t>Hoạt động hoàn hảo, trải nghiệm tuyệt vời</t>
        </is>
      </c>
    </row>
    <row r="16">
      <c r="A16" s="3" t="inlineStr">
        <is>
          <t>3. CÁC CỘT NGƯỜI TEST CẦN ĐIỀN</t>
        </is>
      </c>
      <c r="B16" s="4" t="n"/>
      <c r="C16" s="4" t="n"/>
    </row>
    <row r="17">
      <c r="B17" s="5" t="inlineStr">
        <is>
          <t>Kết quả thực tế</t>
        </is>
      </c>
      <c r="C17" s="6" t="inlineStr">
        <is>
          <t>Ghi lại response AI hoặc kết quả thao tác thực tế</t>
        </is>
      </c>
    </row>
    <row r="18">
      <c r="B18" s="5" t="inlineStr">
        <is>
          <t>Ảnh chụp màn hình</t>
        </is>
      </c>
      <c r="C18" s="6" t="inlineStr">
        <is>
          <t>Ghi tên file ảnh (VD: TC01_chat.png) hoặc paste link ảnh</t>
        </is>
      </c>
    </row>
    <row r="19">
      <c r="B19" s="5" t="inlineStr">
        <is>
          <t>Kết quả</t>
        </is>
      </c>
      <c r="C19" s="6" t="inlineStr">
        <is>
          <t>Chọn từ dropdown: PASS / FAIL / PARTIAL / SKIP</t>
        </is>
      </c>
    </row>
    <row r="20">
      <c r="B20" s="5" t="inlineStr">
        <is>
          <t>Đánh giá (1-5)</t>
        </is>
      </c>
      <c r="C20" s="6" t="inlineStr">
        <is>
          <t>Chọn từ dropdown: 1 đến 5</t>
        </is>
      </c>
    </row>
    <row r="21">
      <c r="B21" s="5" t="inlineStr">
        <is>
          <t>Thời gian test</t>
        </is>
      </c>
      <c r="C21" s="6" t="inlineStr">
        <is>
          <t>Điền ngày test theo format dd/mm/yyyy</t>
        </is>
      </c>
    </row>
    <row r="22">
      <c r="B22" s="5" t="inlineStr">
        <is>
          <t>Nhận xét, đánh giá</t>
        </is>
      </c>
      <c r="C22" s="6" t="inlineStr">
        <is>
          <t>Mô tả chi tiết bug, issue, hoặc nhận xét</t>
        </is>
      </c>
    </row>
    <row r="23">
      <c r="B23" s="5" t="inlineStr">
        <is>
          <t>Feedback / Đề xuất</t>
        </is>
      </c>
      <c r="C23" s="6" t="inlineStr">
        <is>
          <t>Ý kiến cải thiện, đề xuất nâng cấp tính năng</t>
        </is>
      </c>
    </row>
    <row r="25">
      <c r="A25" s="3" t="inlineStr">
        <is>
          <t>4. QUY TRÌNH TEST</t>
        </is>
      </c>
      <c r="B25" s="4" t="n"/>
      <c r="C25" s="4" t="n"/>
    </row>
    <row r="26">
      <c r="B26" s="7" t="inlineStr">
        <is>
          <t>Bước 1: Đọc hướng dẫn (sheet này)</t>
        </is>
      </c>
    </row>
    <row r="27">
      <c r="B27" s="7" t="inlineStr">
        <is>
          <t>Bước 2: Truy cập https://openwebui.rangdong.com.vn</t>
        </is>
      </c>
    </row>
    <row r="28">
      <c r="B28" s="7" t="inlineStr">
        <is>
          <t>Bước 3: Thực hiện từng test case theo sheet "Form Test Tính Năng"</t>
        </is>
      </c>
    </row>
    <row r="29">
      <c r="B29" s="7" t="inlineStr">
        <is>
          <t>Bước 4: Điền kết quả, chụp ảnh màn hình nếu có</t>
        </is>
      </c>
    </row>
    <row r="30">
      <c r="B30" s="7" t="inlineStr">
        <is>
          <t>Bước 5: Ghi nhận xét và feedback cho từng mục</t>
        </is>
      </c>
    </row>
    <row r="31">
      <c r="B31" s="7" t="inlineStr">
        <is>
          <t>Bước 6: Test thêm theo nghiệp vụ riêng ở sheet "Form Test Nghiệp Vụ"</t>
        </is>
      </c>
    </row>
    <row r="32">
      <c r="B32" s="7" t="inlineStr">
        <is>
          <t>Bước 7: Gửi file Excel đã điền về cho team phát triển</t>
        </is>
      </c>
    </row>
  </sheetData>
  <mergeCells count="12">
    <mergeCell ref="A25:C25"/>
    <mergeCell ref="B30:C30"/>
    <mergeCell ref="B29:C29"/>
    <mergeCell ref="A1:C1"/>
    <mergeCell ref="B28:C28"/>
    <mergeCell ref="A9:C9"/>
    <mergeCell ref="A3:C3"/>
    <mergeCell ref="B32:C32"/>
    <mergeCell ref="B31:C31"/>
    <mergeCell ref="B26:C26"/>
    <mergeCell ref="B27:C27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M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2" customWidth="1" min="4" max="4"/>
    <col width="42" customWidth="1" min="5" max="5"/>
    <col width="35" customWidth="1" min="6" max="6"/>
    <col width="35" customWidth="1" min="7" max="7"/>
    <col width="16" customWidth="1" min="8" max="8"/>
    <col width="11" customWidth="1" min="9" max="9"/>
    <col width="10" customWidth="1" min="10" max="10"/>
    <col width="16" customWidth="1" min="11" max="11"/>
    <col width="30" customWidth="1" min="12" max="12"/>
    <col width="30" customWidth="1" min="13" max="13"/>
  </cols>
  <sheetData>
    <row r="1" ht="36" customHeight="1">
      <c r="A1" s="1" t="inlineStr">
        <is>
          <t>FORM KIỂM THỬ TÍNH NĂNG - OPEN WEBUI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8" t="inlineStr">
        <is>
          <t>Phiên bản: v2.1  |  Ngày: 06/04/2026  |  URL: https://openwebui.rangdong.com.vn  |  Tổng: 103 test cases  |  4 providers: OpenAI, Google, xAI, Anthropic</t>
        </is>
      </c>
    </row>
    <row r="3" ht="32" customHeight="1">
      <c r="A3" s="9" t="inlineStr">
        <is>
          <t>STT</t>
        </is>
      </c>
      <c r="B3" s="9" t="inlineStr">
        <is>
          <t>Phân hệ</t>
        </is>
      </c>
      <c r="C3" s="9" t="inlineStr">
        <is>
          <t>Nhóm tính năng</t>
        </is>
      </c>
      <c r="D3" s="9" t="inlineStr">
        <is>
          <t>Tính năng cụ thể</t>
        </is>
      </c>
      <c r="E3" s="9" t="inlineStr">
        <is>
          <t>Thao tác test</t>
        </is>
      </c>
      <c r="F3" s="9" t="inlineStr">
        <is>
          <t>Kỳ vọng</t>
        </is>
      </c>
      <c r="G3" s="9" t="inlineStr">
        <is>
          <t>Kết quả thực tế</t>
        </is>
      </c>
      <c r="H3" s="9" t="inlineStr">
        <is>
          <t>Ảnh chụp
màn hình</t>
        </is>
      </c>
      <c r="I3" s="9" t="inlineStr">
        <is>
          <t>Kết quả</t>
        </is>
      </c>
      <c r="J3" s="9" t="inlineStr">
        <is>
          <t>Đánh giá
(1-5)</t>
        </is>
      </c>
      <c r="K3" s="9" t="inlineStr">
        <is>
          <t>Thời gian test
(ngày/tháng/năm)</t>
        </is>
      </c>
      <c r="L3" s="9" t="inlineStr">
        <is>
          <t>Nhận xét,
đánh giá</t>
        </is>
      </c>
      <c r="M3" s="9" t="inlineStr">
        <is>
          <t>Feedback /
Đề xuất</t>
        </is>
      </c>
    </row>
    <row r="4" ht="28" customHeight="1">
      <c r="A4" s="10" t="inlineStr">
        <is>
          <t>PHẦN A: TÍNH NĂNG NGƯỜI DÙNG (USER)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  <c r="M4" s="11" t="n"/>
    </row>
    <row r="5" ht="40" customHeight="1">
      <c r="A5" s="13" t="n">
        <v>1</v>
      </c>
      <c r="B5" s="13" t="inlineStr">
        <is>
          <t>USER</t>
        </is>
      </c>
      <c r="C5" s="14" t="inlineStr">
        <is>
          <t>Hỏi đáp (Chat AI)</t>
        </is>
      </c>
      <c r="D5" s="14" t="inlineStr">
        <is>
          <t>Trả lời tiếng Việt</t>
        </is>
      </c>
      <c r="E5" s="14" t="inlineStr">
        <is>
          <t>Hỏi: "Giải thích nguyên lý hoạt động của pin mặt trời"</t>
        </is>
      </c>
      <c r="F5" s="14" t="inlineStr">
        <is>
          <t>Trả lời mượt mà tiếng Việt, chính xác, không lỗi ngữ pháp</t>
        </is>
      </c>
      <c r="G5" s="14" t="inlineStr"/>
      <c r="H5" s="14" t="inlineStr"/>
      <c r="I5" s="13" t="inlineStr"/>
      <c r="J5" s="13" t="inlineStr"/>
      <c r="K5" s="15" t="inlineStr"/>
      <c r="L5" s="14" t="inlineStr"/>
      <c r="M5" s="14" t="inlineStr"/>
    </row>
    <row r="6" ht="40" customHeight="1">
      <c r="A6" s="13" t="n">
        <v>2</v>
      </c>
      <c r="B6" s="13" t="inlineStr">
        <is>
          <t>USER</t>
        </is>
      </c>
      <c r="C6" s="14" t="inlineStr">
        <is>
          <t>Hỏi đáp (Chat AI)</t>
        </is>
      </c>
      <c r="D6" s="14" t="inlineStr">
        <is>
          <t>Trả lời tiếng Anh</t>
        </is>
      </c>
      <c r="E6" s="14" t="inlineStr">
        <is>
          <t>Hỏi: "Explain how LED lighting works"</t>
        </is>
      </c>
      <c r="F6" s="14" t="inlineStr">
        <is>
          <t>Trả lời tiếng Anh chính xác, ngữ pháp tốt</t>
        </is>
      </c>
      <c r="G6" s="14" t="inlineStr"/>
      <c r="H6" s="14" t="inlineStr"/>
      <c r="I6" s="13" t="inlineStr"/>
      <c r="J6" s="13" t="inlineStr"/>
      <c r="K6" s="15" t="inlineStr"/>
      <c r="L6" s="14" t="inlineStr"/>
      <c r="M6" s="14" t="inlineStr"/>
    </row>
    <row r="7" ht="40" customHeight="1">
      <c r="A7" s="13" t="n">
        <v>3</v>
      </c>
      <c r="B7" s="13" t="inlineStr">
        <is>
          <t>USER</t>
        </is>
      </c>
      <c r="C7" s="14" t="inlineStr">
        <is>
          <t>Hỏi đáp (Chat AI)</t>
        </is>
      </c>
      <c r="D7" s="14" t="inlineStr">
        <is>
          <t>Trả lời chuyên ngành</t>
        </is>
      </c>
      <c r="E7" s="14" t="inlineStr">
        <is>
          <t>Hỏi về so sánh đèn LED vs đèn huỳnh quang</t>
        </is>
      </c>
      <c r="F7" s="14" t="inlineStr">
        <is>
          <t>Thông tin chuyên ngành chính xác, so sánh rõ ràng</t>
        </is>
      </c>
      <c r="G7" s="14" t="inlineStr"/>
      <c r="H7" s="14" t="inlineStr"/>
      <c r="I7" s="13" t="inlineStr"/>
      <c r="J7" s="13" t="inlineStr"/>
      <c r="K7" s="15" t="inlineStr"/>
      <c r="L7" s="14" t="inlineStr"/>
      <c r="M7" s="14" t="inlineStr"/>
    </row>
    <row r="8" ht="40" customHeight="1">
      <c r="A8" s="13" t="n">
        <v>4</v>
      </c>
      <c r="B8" s="13" t="inlineStr">
        <is>
          <t>USER</t>
        </is>
      </c>
      <c r="C8" s="14" t="inlineStr">
        <is>
          <t>Hỏi đáp (Chat AI)</t>
        </is>
      </c>
      <c r="D8" s="14" t="inlineStr">
        <is>
          <t>Trả lời có số liệu</t>
        </is>
      </c>
      <c r="E8" s="14" t="inlineStr">
        <is>
          <t>Hỏi: "Dân số Việt Nam năm 2025?"</t>
        </is>
      </c>
      <c r="F8" s="14" t="inlineStr">
        <is>
          <t>Số liệu gần đúng, có disclaimer</t>
        </is>
      </c>
      <c r="G8" s="14" t="inlineStr"/>
      <c r="H8" s="14" t="inlineStr"/>
      <c r="I8" s="13" t="inlineStr"/>
      <c r="J8" s="13" t="inlineStr"/>
      <c r="K8" s="15" t="inlineStr"/>
      <c r="L8" s="14" t="inlineStr"/>
      <c r="M8" s="14" t="inlineStr"/>
    </row>
    <row r="9" ht="40" customHeight="1">
      <c r="A9" s="13" t="n">
        <v>5</v>
      </c>
      <c r="B9" s="13" t="inlineStr">
        <is>
          <t>USER</t>
        </is>
      </c>
      <c r="C9" s="14" t="inlineStr">
        <is>
          <t>Hỏi đáp (Chat AI)</t>
        </is>
      </c>
      <c r="D9" s="14" t="inlineStr">
        <is>
          <t>Trả lời dạng bảng</t>
        </is>
      </c>
      <c r="E9" s="14" t="inlineStr">
        <is>
          <t>Hỏi: "Lập bảng so sánh 5 loại đèn LED"</t>
        </is>
      </c>
      <c r="F9" s="14" t="inlineStr">
        <is>
          <t>Bảng markdown đẹp, dữ liệu hợp lý</t>
        </is>
      </c>
      <c r="G9" s="14" t="inlineStr"/>
      <c r="H9" s="14" t="inlineStr"/>
      <c r="I9" s="13" t="inlineStr"/>
      <c r="J9" s="13" t="inlineStr"/>
      <c r="K9" s="15" t="inlineStr"/>
      <c r="L9" s="14" t="inlineStr"/>
      <c r="M9" s="14" t="inlineStr"/>
    </row>
    <row r="10" ht="40" customHeight="1">
      <c r="A10" s="13" t="n">
        <v>6</v>
      </c>
      <c r="B10" s="13" t="inlineStr">
        <is>
          <t>USER</t>
        </is>
      </c>
      <c r="C10" s="14" t="inlineStr">
        <is>
          <t>Hỏi đáp (Chat AI)</t>
        </is>
      </c>
      <c r="D10" s="14" t="inlineStr">
        <is>
          <t>Trả lời dạng code</t>
        </is>
      </c>
      <c r="E10" s="14" t="inlineStr">
        <is>
          <t>Hỏi: "Viết code Python đọc Excel vẽ biểu đồ"</t>
        </is>
      </c>
      <c r="F10" s="14" t="inlineStr">
        <is>
          <t>Code chạy được, syntax highlighting</t>
        </is>
      </c>
      <c r="G10" s="14" t="inlineStr"/>
      <c r="H10" s="14" t="inlineStr"/>
      <c r="I10" s="13" t="inlineStr"/>
      <c r="J10" s="13" t="inlineStr"/>
      <c r="K10" s="15" t="inlineStr"/>
      <c r="L10" s="14" t="inlineStr"/>
      <c r="M10" s="14" t="inlineStr"/>
    </row>
    <row r="11" ht="40" customHeight="1">
      <c r="A11" s="13" t="n">
        <v>7</v>
      </c>
      <c r="B11" s="13" t="inlineStr">
        <is>
          <t>USER</t>
        </is>
      </c>
      <c r="C11" s="14" t="inlineStr">
        <is>
          <t>Hỏi đáp (Chat AI)</t>
        </is>
      </c>
      <c r="D11" s="14" t="inlineStr">
        <is>
          <t>Hội thoại nhiều lượt</t>
        </is>
      </c>
      <c r="E11" s="14" t="inlineStr">
        <is>
          <t>Hỏi 3-4 câu liên tiếp cùng chủ đề</t>
        </is>
      </c>
      <c r="F11" s="14" t="inlineStr">
        <is>
          <t>AI nhớ context, trả lời mạch lạc</t>
        </is>
      </c>
      <c r="G11" s="14" t="inlineStr"/>
      <c r="H11" s="14" t="inlineStr"/>
      <c r="I11" s="13" t="inlineStr"/>
      <c r="J11" s="13" t="inlineStr"/>
      <c r="K11" s="15" t="inlineStr"/>
      <c r="L11" s="14" t="inlineStr"/>
      <c r="M11" s="14" t="inlineStr"/>
    </row>
    <row r="12" ht="40" customHeight="1">
      <c r="A12" s="13" t="n">
        <v>8</v>
      </c>
      <c r="B12" s="13" t="inlineStr">
        <is>
          <t>USER</t>
        </is>
      </c>
      <c r="C12" s="14" t="inlineStr">
        <is>
          <t>Hỏi đáp (Chat AI)</t>
        </is>
      </c>
      <c r="D12" s="14" t="inlineStr">
        <is>
          <t>Streaming response</t>
        </is>
      </c>
      <c r="E12" s="14" t="inlineStr">
        <is>
          <t>Quan sát khi AI trả lời</t>
        </is>
      </c>
      <c r="F12" s="14" t="inlineStr">
        <is>
          <t>Text hiển thị từng token, không giật lag</t>
        </is>
      </c>
      <c r="G12" s="14" t="inlineStr"/>
      <c r="H12" s="14" t="inlineStr"/>
      <c r="I12" s="13" t="inlineStr"/>
      <c r="J12" s="13" t="inlineStr"/>
      <c r="K12" s="15" t="inlineStr"/>
      <c r="L12" s="14" t="inlineStr"/>
      <c r="M12" s="14" t="inlineStr"/>
    </row>
    <row r="13" ht="40" customHeight="1">
      <c r="A13" s="13" t="n">
        <v>9</v>
      </c>
      <c r="B13" s="13" t="inlineStr">
        <is>
          <t>USER</t>
        </is>
      </c>
      <c r="C13" s="14" t="inlineStr">
        <is>
          <t>Hỏi đáp (Chat AI)</t>
        </is>
      </c>
      <c r="D13" s="14" t="inlineStr">
        <is>
          <t>Tạo hội thoại mới</t>
        </is>
      </c>
      <c r="E13" s="14" t="inlineStr">
        <is>
          <t>Nhấn "New Chat"</t>
        </is>
      </c>
      <c r="F13" s="14" t="inlineStr">
        <is>
          <t>Mở chat mới, không context cũ</t>
        </is>
      </c>
      <c r="G13" s="14" t="inlineStr"/>
      <c r="H13" s="14" t="inlineStr"/>
      <c r="I13" s="13" t="inlineStr"/>
      <c r="J13" s="13" t="inlineStr"/>
      <c r="K13" s="15" t="inlineStr"/>
      <c r="L13" s="14" t="inlineStr"/>
      <c r="M13" s="14" t="inlineStr"/>
    </row>
    <row r="14" ht="40" customHeight="1">
      <c r="A14" s="13" t="n">
        <v>10</v>
      </c>
      <c r="B14" s="13" t="inlineStr">
        <is>
          <t>USER</t>
        </is>
      </c>
      <c r="C14" s="14" t="inlineStr">
        <is>
          <t>Hỏi đáp (Chat AI)</t>
        </is>
      </c>
      <c r="D14" s="14" t="inlineStr">
        <is>
          <t>Xóa hội thoại</t>
        </is>
      </c>
      <c r="E14" s="14" t="inlineStr">
        <is>
          <t>Xóa 1 hội thoại từ sidebar</t>
        </is>
      </c>
      <c r="F14" s="14" t="inlineStr">
        <is>
          <t>Hội thoại bị xóa khỏi danh sách</t>
        </is>
      </c>
      <c r="G14" s="14" t="inlineStr"/>
      <c r="H14" s="14" t="inlineStr"/>
      <c r="I14" s="13" t="inlineStr"/>
      <c r="J14" s="13" t="inlineStr"/>
      <c r="K14" s="15" t="inlineStr"/>
      <c r="L14" s="14" t="inlineStr"/>
      <c r="M14" s="14" t="inlineStr"/>
    </row>
    <row r="15" ht="40" customHeight="1">
      <c r="A15" s="13" t="n">
        <v>11</v>
      </c>
      <c r="B15" s="13" t="inlineStr">
        <is>
          <t>USER</t>
        </is>
      </c>
      <c r="C15" s="14" t="inlineStr">
        <is>
          <t>Hỏi đáp (Chat AI)</t>
        </is>
      </c>
      <c r="D15" s="14" t="inlineStr">
        <is>
          <t>Xóa nhiều hội thoại</t>
        </is>
      </c>
      <c r="E15" s="14" t="inlineStr">
        <is>
          <t>Xóa 3 hội thoại cùng lúc</t>
        </is>
      </c>
      <c r="F15" s="14" t="inlineStr">
        <is>
          <t>Tất cả bị xóa thành công</t>
        </is>
      </c>
      <c r="G15" s="14" t="inlineStr"/>
      <c r="H15" s="14" t="inlineStr"/>
      <c r="I15" s="13" t="inlineStr"/>
      <c r="J15" s="13" t="inlineStr"/>
      <c r="K15" s="15" t="inlineStr"/>
      <c r="L15" s="14" t="inlineStr"/>
      <c r="M15" s="14" t="inlineStr"/>
    </row>
    <row r="16" ht="40" customHeight="1">
      <c r="A16" s="13" t="n">
        <v>12</v>
      </c>
      <c r="B16" s="13" t="inlineStr">
        <is>
          <t>USER</t>
        </is>
      </c>
      <c r="C16" s="14" t="inlineStr">
        <is>
          <t>Hỏi đáp (Chat AI)</t>
        </is>
      </c>
      <c r="D16" s="14" t="inlineStr">
        <is>
          <t>Đổi tên hội thoại</t>
        </is>
      </c>
      <c r="E16" s="14" t="inlineStr">
        <is>
          <t>Click tên → Sửa tên</t>
        </is>
      </c>
      <c r="F16" s="14" t="inlineStr">
        <is>
          <t>Tên mới được lưu</t>
        </is>
      </c>
      <c r="G16" s="14" t="inlineStr"/>
      <c r="H16" s="14" t="inlineStr"/>
      <c r="I16" s="13" t="inlineStr"/>
      <c r="J16" s="13" t="inlineStr"/>
      <c r="K16" s="15" t="inlineStr"/>
      <c r="L16" s="14" t="inlineStr"/>
      <c r="M16" s="14" t="inlineStr"/>
    </row>
    <row r="17" ht="40" customHeight="1">
      <c r="A17" s="13" t="n">
        <v>13</v>
      </c>
      <c r="B17" s="13" t="inlineStr">
        <is>
          <t>USER</t>
        </is>
      </c>
      <c r="C17" s="14" t="inlineStr">
        <is>
          <t>Hỏi đáp (Chat AI)</t>
        </is>
      </c>
      <c r="D17" s="14" t="inlineStr">
        <is>
          <t>Pin hội thoại</t>
        </is>
      </c>
      <c r="E17" s="14" t="inlineStr">
        <is>
          <t>Ghim 1 hội thoại</t>
        </is>
      </c>
      <c r="F17" s="14" t="inlineStr">
        <is>
          <t>Hiển thị ở đầu danh sách</t>
        </is>
      </c>
      <c r="G17" s="14" t="inlineStr"/>
      <c r="H17" s="14" t="inlineStr"/>
      <c r="I17" s="13" t="inlineStr"/>
      <c r="J17" s="13" t="inlineStr"/>
      <c r="K17" s="15" t="inlineStr"/>
      <c r="L17" s="14" t="inlineStr"/>
      <c r="M17" s="14" t="inlineStr"/>
    </row>
    <row r="18" ht="40" customHeight="1">
      <c r="A18" s="13" t="n">
        <v>14</v>
      </c>
      <c r="B18" s="13" t="inlineStr">
        <is>
          <t>USER</t>
        </is>
      </c>
      <c r="C18" s="14" t="inlineStr">
        <is>
          <t>Hỏi đáp (Chat AI)</t>
        </is>
      </c>
      <c r="D18" s="14" t="inlineStr">
        <is>
          <t>Archive hội thoại</t>
        </is>
      </c>
      <c r="E18" s="14" t="inlineStr">
        <is>
          <t>Lưu trữ 1 hội thoại</t>
        </is>
      </c>
      <c r="F18" s="14" t="inlineStr">
        <is>
          <t>Chuyển vào mục Archive</t>
        </is>
      </c>
      <c r="G18" s="14" t="inlineStr"/>
      <c r="H18" s="14" t="inlineStr"/>
      <c r="I18" s="13" t="inlineStr"/>
      <c r="J18" s="13" t="inlineStr"/>
      <c r="K18" s="15" t="inlineStr"/>
      <c r="L18" s="14" t="inlineStr"/>
      <c r="M18" s="14" t="inlineStr"/>
    </row>
    <row r="19" ht="40" customHeight="1">
      <c r="A19" s="13" t="n">
        <v>15</v>
      </c>
      <c r="B19" s="13" t="inlineStr">
        <is>
          <t>USER</t>
        </is>
      </c>
      <c r="C19" s="14" t="inlineStr">
        <is>
          <t>Hỏi đáp (Chat AI)</t>
        </is>
      </c>
      <c r="D19" s="14" t="inlineStr">
        <is>
          <t>Tạo folder</t>
        </is>
      </c>
      <c r="E19" s="14" t="inlineStr">
        <is>
          <t>Tạo folder mới trong sidebar</t>
        </is>
      </c>
      <c r="F19" s="14" t="inlineStr">
        <is>
          <t>Folder tạo, kéo thả chat vào được</t>
        </is>
      </c>
      <c r="G19" s="14" t="inlineStr"/>
      <c r="H19" s="14" t="inlineStr"/>
      <c r="I19" s="13" t="inlineStr"/>
      <c r="J19" s="13" t="inlineStr"/>
      <c r="K19" s="15" t="inlineStr"/>
      <c r="L19" s="14" t="inlineStr"/>
      <c r="M19" s="14" t="inlineStr"/>
    </row>
    <row r="20" ht="40" customHeight="1">
      <c r="A20" s="13" t="n">
        <v>16</v>
      </c>
      <c r="B20" s="13" t="inlineStr">
        <is>
          <t>USER</t>
        </is>
      </c>
      <c r="C20" s="14" t="inlineStr">
        <is>
          <t>Hỏi đáp (Chat AI)</t>
        </is>
      </c>
      <c r="D20" s="14" t="inlineStr">
        <is>
          <t>Tìm kiếm chat</t>
        </is>
      </c>
      <c r="E20" s="14" t="inlineStr">
        <is>
          <t>Gõ keyword vào thanh search</t>
        </is>
      </c>
      <c r="F20" s="14" t="inlineStr">
        <is>
          <t>Tìm được hội thoại chứa keyword</t>
        </is>
      </c>
      <c r="G20" s="14" t="inlineStr"/>
      <c r="H20" s="14" t="inlineStr"/>
      <c r="I20" s="13" t="inlineStr"/>
      <c r="J20" s="13" t="inlineStr"/>
      <c r="K20" s="15" t="inlineStr"/>
      <c r="L20" s="14" t="inlineStr"/>
      <c r="M20" s="14" t="inlineStr"/>
    </row>
    <row r="21" ht="40" customHeight="1">
      <c r="A21" s="13" t="n">
        <v>17</v>
      </c>
      <c r="B21" s="13" t="inlineStr">
        <is>
          <t>USER</t>
        </is>
      </c>
      <c r="C21" s="14" t="inlineStr">
        <is>
          <t>Hỏi đáp (Chat AI)</t>
        </is>
      </c>
      <c r="D21" s="14" t="inlineStr">
        <is>
          <t>Chia sẻ hội thoại</t>
        </is>
      </c>
      <c r="E21" s="14" t="inlineStr">
        <is>
          <t>Nhấn Share → Copy link</t>
        </is>
      </c>
      <c r="F21" s="14" t="inlineStr">
        <is>
          <t>Link được tạo, người khác mở được</t>
        </is>
      </c>
      <c r="G21" s="14" t="inlineStr"/>
      <c r="H21" s="14" t="inlineStr"/>
      <c r="I21" s="13" t="inlineStr"/>
      <c r="J21" s="13" t="inlineStr"/>
      <c r="K21" s="15" t="inlineStr"/>
      <c r="L21" s="14" t="inlineStr"/>
      <c r="M21" s="14" t="inlineStr"/>
    </row>
    <row r="22" ht="40" customHeight="1">
      <c r="A22" s="13" t="n">
        <v>18</v>
      </c>
      <c r="B22" s="13" t="inlineStr">
        <is>
          <t>USER</t>
        </is>
      </c>
      <c r="C22" s="14" t="inlineStr">
        <is>
          <t>Hỏi đáp (Chat AI)</t>
        </is>
      </c>
      <c r="D22" s="14" t="inlineStr">
        <is>
          <t>Xuất file Excel</t>
        </is>
      </c>
      <c r="E22" s="14" t="inlineStr">
        <is>
          <t>Action → "Xuất Excel"</t>
        </is>
      </c>
      <c r="F22" s="14" t="inlineStr">
        <is>
          <t>File .xlsx tải về, format + filter tốt</t>
        </is>
      </c>
      <c r="G22" s="14" t="inlineStr"/>
      <c r="H22" s="14" t="inlineStr"/>
      <c r="I22" s="13" t="inlineStr"/>
      <c r="J22" s="13" t="inlineStr"/>
      <c r="K22" s="15" t="inlineStr"/>
      <c r="L22" s="14" t="inlineStr"/>
      <c r="M22" s="14" t="inlineStr"/>
    </row>
    <row r="23" ht="40" customHeight="1">
      <c r="A23" s="13" t="n">
        <v>19</v>
      </c>
      <c r="B23" s="13" t="inlineStr">
        <is>
          <t>USER</t>
        </is>
      </c>
      <c r="C23" s="14" t="inlineStr">
        <is>
          <t>Hỏi đáp (Chat AI)</t>
        </is>
      </c>
      <c r="D23" s="14" t="inlineStr">
        <is>
          <t>Xuất file PDF</t>
        </is>
      </c>
      <c r="E23" s="14" t="inlineStr">
        <is>
          <t>Action → "Xuất PDF"</t>
        </is>
      </c>
      <c r="F23" s="14" t="inlineStr">
        <is>
          <t>File .pdf tải về, nội dung đúng</t>
        </is>
      </c>
      <c r="G23" s="14" t="inlineStr"/>
      <c r="H23" s="14" t="inlineStr"/>
      <c r="I23" s="13" t="inlineStr"/>
      <c r="J23" s="13" t="inlineStr"/>
      <c r="K23" s="15" t="inlineStr"/>
      <c r="L23" s="14" t="inlineStr"/>
      <c r="M23" s="14" t="inlineStr"/>
    </row>
    <row r="24" ht="40" customHeight="1">
      <c r="A24" s="13" t="n">
        <v>20</v>
      </c>
      <c r="B24" s="13" t="inlineStr">
        <is>
          <t>USER</t>
        </is>
      </c>
      <c r="C24" s="14" t="inlineStr">
        <is>
          <t>Hỏi đáp (Chat AI)</t>
        </is>
      </c>
      <c r="D24" s="14" t="inlineStr">
        <is>
          <t>Xuất file DOCX</t>
        </is>
      </c>
      <c r="E24" s="14" t="inlineStr">
        <is>
          <t>Action → "Xuất DOCX"</t>
        </is>
      </c>
      <c r="F24" s="14" t="inlineStr">
        <is>
          <t>File .docx tải về, nội dung đúng</t>
        </is>
      </c>
      <c r="G24" s="14" t="inlineStr"/>
      <c r="H24" s="14" t="inlineStr"/>
      <c r="I24" s="13" t="inlineStr"/>
      <c r="J24" s="13" t="inlineStr"/>
      <c r="K24" s="15" t="inlineStr"/>
      <c r="L24" s="14" t="inlineStr"/>
      <c r="M24" s="14" t="inlineStr"/>
    </row>
    <row r="25" ht="40" customHeight="1">
      <c r="A25" s="13" t="n">
        <v>21</v>
      </c>
      <c r="B25" s="13" t="inlineStr">
        <is>
          <t>USER</t>
        </is>
      </c>
      <c r="C25" s="14" t="inlineStr">
        <is>
          <t>Hỏi đáp (Chat AI)</t>
        </is>
      </c>
      <c r="D25" s="14" t="inlineStr">
        <is>
          <t>Tags</t>
        </is>
      </c>
      <c r="E25" s="14" t="inlineStr">
        <is>
          <t>Gắn tag cho hội thoại</t>
        </is>
      </c>
      <c r="F25" s="14" t="inlineStr">
        <is>
          <t>Tag lưu, lọc theo tag hoạt động</t>
        </is>
      </c>
      <c r="G25" s="14" t="inlineStr"/>
      <c r="H25" s="14" t="inlineStr"/>
      <c r="I25" s="13" t="inlineStr"/>
      <c r="J25" s="13" t="inlineStr"/>
      <c r="K25" s="15" t="inlineStr"/>
      <c r="L25" s="14" t="inlineStr"/>
      <c r="M25" s="14" t="inlineStr"/>
    </row>
    <row r="26" ht="40" customHeight="1">
      <c r="A26" s="16" t="n">
        <v>22</v>
      </c>
      <c r="B26" s="16" t="inlineStr">
        <is>
          <t>USER</t>
        </is>
      </c>
      <c r="C26" s="17" t="inlineStr">
        <is>
          <t>Tạo ảnh AI</t>
        </is>
      </c>
      <c r="D26" s="17" t="inlineStr">
        <is>
          <t>GPT Image 1.5 (OpenAI)</t>
        </is>
      </c>
      <c r="E26" s="17" t="inlineStr">
        <is>
          <t>Chọn model gpt-image-1.5, gõ: "Vẽ con mèo trên bàn làm việc"</t>
        </is>
      </c>
      <c r="F26" s="17" t="inlineStr">
        <is>
          <t>Ảnh tạo đúng mô tả, chất lượng cao</t>
        </is>
      </c>
      <c r="G26" s="17" t="inlineStr"/>
      <c r="H26" s="17" t="inlineStr"/>
      <c r="I26" s="16" t="inlineStr"/>
      <c r="J26" s="16" t="inlineStr"/>
      <c r="K26" s="18" t="inlineStr"/>
      <c r="L26" s="17" t="inlineStr"/>
      <c r="M26" s="17" t="inlineStr"/>
    </row>
    <row r="27" ht="40" customHeight="1">
      <c r="A27" s="16" t="n">
        <v>23</v>
      </c>
      <c r="B27" s="16" t="inlineStr">
        <is>
          <t>USER</t>
        </is>
      </c>
      <c r="C27" s="17" t="inlineStr">
        <is>
          <t>Tạo ảnh AI</t>
        </is>
      </c>
      <c r="D27" s="17" t="inlineStr">
        <is>
          <t>GPT Image 1 (OpenAI)</t>
        </is>
      </c>
      <c r="E27" s="17" t="inlineStr">
        <is>
          <t>Chọn model gpt-image-1, gõ mô tả ảnh</t>
        </is>
      </c>
      <c r="F27" s="17" t="inlineStr">
        <is>
          <t>Ảnh tạo đúng mô tả</t>
        </is>
      </c>
      <c r="G27" s="17" t="inlineStr"/>
      <c r="H27" s="17" t="inlineStr"/>
      <c r="I27" s="16" t="inlineStr"/>
      <c r="J27" s="16" t="inlineStr"/>
      <c r="K27" s="18" t="inlineStr"/>
      <c r="L27" s="17" t="inlineStr"/>
      <c r="M27" s="17" t="inlineStr"/>
    </row>
    <row r="28" ht="40" customHeight="1">
      <c r="A28" s="16" t="n">
        <v>24</v>
      </c>
      <c r="B28" s="16" t="inlineStr">
        <is>
          <t>USER</t>
        </is>
      </c>
      <c r="C28" s="17" t="inlineStr">
        <is>
          <t>Tạo ảnh AI</t>
        </is>
      </c>
      <c r="D28" s="17" t="inlineStr">
        <is>
          <t>Gemini 3.1 Flash Image</t>
        </is>
      </c>
      <c r="E28" s="17" t="inlineStr">
        <is>
          <t>Chọn model gemini-3.1-flash-image-preview, gõ mô tả</t>
        </is>
      </c>
      <c r="F28" s="17" t="inlineStr">
        <is>
          <t>Ảnh tạo nhanh, chất lượng OK</t>
        </is>
      </c>
      <c r="G28" s="17" t="inlineStr"/>
      <c r="H28" s="17" t="inlineStr"/>
      <c r="I28" s="16" t="inlineStr"/>
      <c r="J28" s="16" t="inlineStr"/>
      <c r="K28" s="18" t="inlineStr"/>
      <c r="L28" s="17" t="inlineStr"/>
      <c r="M28" s="17" t="inlineStr"/>
    </row>
    <row r="29" ht="40" customHeight="1">
      <c r="A29" s="16" t="n">
        <v>25</v>
      </c>
      <c r="B29" s="16" t="inlineStr">
        <is>
          <t>USER</t>
        </is>
      </c>
      <c r="C29" s="17" t="inlineStr">
        <is>
          <t>Tạo ảnh AI</t>
        </is>
      </c>
      <c r="D29" s="17" t="inlineStr">
        <is>
          <t>Gemini 3 Pro Image</t>
        </is>
      </c>
      <c r="E29" s="17" t="inlineStr">
        <is>
          <t>Chọn model gemini-3-pro-image-preview, gõ mô tả</t>
        </is>
      </c>
      <c r="F29" s="17" t="inlineStr">
        <is>
          <t>Ảnh chất lượng cao, chi tiết tốt</t>
        </is>
      </c>
      <c r="G29" s="17" t="inlineStr"/>
      <c r="H29" s="17" t="inlineStr"/>
      <c r="I29" s="16" t="inlineStr"/>
      <c r="J29" s="16" t="inlineStr"/>
      <c r="K29" s="18" t="inlineStr"/>
      <c r="L29" s="17" t="inlineStr"/>
      <c r="M29" s="17" t="inlineStr"/>
    </row>
    <row r="30" ht="40" customHeight="1">
      <c r="A30" s="16" t="n">
        <v>26</v>
      </c>
      <c r="B30" s="16" t="inlineStr">
        <is>
          <t>USER</t>
        </is>
      </c>
      <c r="C30" s="17" t="inlineStr">
        <is>
          <t>Tạo ảnh AI</t>
        </is>
      </c>
      <c r="D30" s="17" t="inlineStr">
        <is>
          <t>Grok Imagine</t>
        </is>
      </c>
      <c r="E30" s="17" t="inlineStr">
        <is>
          <t>Chọn model grok-imagine-image, gõ mô tả</t>
        </is>
      </c>
      <c r="F30" s="17" t="inlineStr">
        <is>
          <t>Ảnh tạo đúng mô tả (xAI)</t>
        </is>
      </c>
      <c r="G30" s="17" t="inlineStr"/>
      <c r="H30" s="17" t="inlineStr"/>
      <c r="I30" s="16" t="inlineStr"/>
      <c r="J30" s="16" t="inlineStr"/>
      <c r="K30" s="18" t="inlineStr"/>
      <c r="L30" s="17" t="inlineStr"/>
      <c r="M30" s="17" t="inlineStr"/>
    </row>
    <row r="31" ht="40" customHeight="1">
      <c r="A31" s="16" t="n">
        <v>27</v>
      </c>
      <c r="B31" s="16" t="inlineStr">
        <is>
          <t>USER</t>
        </is>
      </c>
      <c r="C31" s="17" t="inlineStr">
        <is>
          <t>Tạo ảnh AI</t>
        </is>
      </c>
      <c r="D31" s="17" t="inlineStr">
        <is>
          <t>Grok Imagine Pro</t>
        </is>
      </c>
      <c r="E31" s="17" t="inlineStr">
        <is>
          <t>Chọn model grok-imagine-image-pro, gõ mô tả</t>
        </is>
      </c>
      <c r="F31" s="17" t="inlineStr">
        <is>
          <t>Ảnh chất lượng cao hơn, nhanh hơn</t>
        </is>
      </c>
      <c r="G31" s="17" t="inlineStr"/>
      <c r="H31" s="17" t="inlineStr"/>
      <c r="I31" s="16" t="inlineStr"/>
      <c r="J31" s="16" t="inlineStr"/>
      <c r="K31" s="18" t="inlineStr"/>
      <c r="L31" s="17" t="inlineStr"/>
      <c r="M31" s="17" t="inlineStr"/>
    </row>
    <row r="32" ht="40" customHeight="1">
      <c r="A32" s="16" t="n">
        <v>28</v>
      </c>
      <c r="B32" s="16" t="inlineStr">
        <is>
          <t>USER</t>
        </is>
      </c>
      <c r="C32" s="17" t="inlineStr">
        <is>
          <t>Tạo ảnh AI</t>
        </is>
      </c>
      <c r="D32" s="17" t="inlineStr">
        <is>
          <t>Sửa ảnh nhiều lượt</t>
        </is>
      </c>
      <c r="E32" s="17" t="inlineStr">
        <is>
          <t>L1: Vẽ → L2: Thêm chi tiết → L3: Đổi style</t>
        </is>
      </c>
      <c r="F32" s="17" t="inlineStr">
        <is>
          <t>Mỗi lượt chỉnh dựa trên ảnh trước</t>
        </is>
      </c>
      <c r="G32" s="17" t="inlineStr"/>
      <c r="H32" s="17" t="inlineStr"/>
      <c r="I32" s="16" t="inlineStr"/>
      <c r="J32" s="16" t="inlineStr"/>
      <c r="K32" s="18" t="inlineStr"/>
      <c r="L32" s="17" t="inlineStr"/>
      <c r="M32" s="17" t="inlineStr"/>
    </row>
    <row r="33" ht="40" customHeight="1">
      <c r="A33" s="16" t="n">
        <v>29</v>
      </c>
      <c r="B33" s="16" t="inlineStr">
        <is>
          <t>USER</t>
        </is>
      </c>
      <c r="C33" s="17" t="inlineStr">
        <is>
          <t>Tạo ảnh AI</t>
        </is>
      </c>
      <c r="D33" s="17" t="inlineStr">
        <is>
          <t>Tạo ảnh phức tạp</t>
        </is>
      </c>
      <c r="E33" s="17" t="inlineStr">
        <is>
          <t>Gõ mô tả dài, nhiều chi tiết cụ thể</t>
        </is>
      </c>
      <c r="F33" s="17" t="inlineStr">
        <is>
          <t>Ảnh phản ánh đầy đủ mô tả</t>
        </is>
      </c>
      <c r="G33" s="17" t="inlineStr"/>
      <c r="H33" s="17" t="inlineStr"/>
      <c r="I33" s="16" t="inlineStr"/>
      <c r="J33" s="16" t="inlineStr"/>
      <c r="K33" s="18" t="inlineStr"/>
      <c r="L33" s="17" t="inlineStr"/>
      <c r="M33" s="17" t="inlineStr"/>
    </row>
    <row r="34" ht="40" customHeight="1">
      <c r="A34" s="16" t="n">
        <v>30</v>
      </c>
      <c r="B34" s="16" t="inlineStr">
        <is>
          <t>USER</t>
        </is>
      </c>
      <c r="C34" s="17" t="inlineStr">
        <is>
          <t>Tạo ảnh AI</t>
        </is>
      </c>
      <c r="D34" s="17" t="inlineStr">
        <is>
          <t>Prompt tiếng Việt</t>
        </is>
      </c>
      <c r="E34" s="17" t="inlineStr">
        <is>
          <t>Gõ prompt bằng tiếng Việt</t>
        </is>
      </c>
      <c r="F34" s="17" t="inlineStr">
        <is>
          <t>Hiểu và tạo ảnh đúng</t>
        </is>
      </c>
      <c r="G34" s="17" t="inlineStr"/>
      <c r="H34" s="17" t="inlineStr"/>
      <c r="I34" s="16" t="inlineStr"/>
      <c r="J34" s="16" t="inlineStr"/>
      <c r="K34" s="18" t="inlineStr"/>
      <c r="L34" s="17" t="inlineStr"/>
      <c r="M34" s="17" t="inlineStr"/>
    </row>
    <row r="35" ht="40" customHeight="1">
      <c r="A35" s="19" t="n">
        <v>31</v>
      </c>
      <c r="B35" s="19" t="inlineStr">
        <is>
          <t>USER</t>
        </is>
      </c>
      <c r="C35" s="20" t="inlineStr">
        <is>
          <t>Gửi file &amp; truy xuất</t>
        </is>
      </c>
      <c r="D35" s="20" t="inlineStr">
        <is>
          <t>Upload PDF</t>
        </is>
      </c>
      <c r="E35" s="20" t="inlineStr">
        <is>
          <t>Gửi file PDF ~5 trang + hỏi nội dung</t>
        </is>
      </c>
      <c r="F35" s="20" t="inlineStr">
        <is>
          <t>AI đọc và trả lời chính xác</t>
        </is>
      </c>
      <c r="G35" s="20" t="inlineStr"/>
      <c r="H35" s="20" t="inlineStr"/>
      <c r="I35" s="19" t="inlineStr"/>
      <c r="J35" s="19" t="inlineStr"/>
      <c r="K35" s="21" t="inlineStr"/>
      <c r="L35" s="20" t="inlineStr"/>
      <c r="M35" s="20" t="inlineStr"/>
    </row>
    <row r="36" ht="40" customHeight="1">
      <c r="A36" s="19" t="n">
        <v>32</v>
      </c>
      <c r="B36" s="19" t="inlineStr">
        <is>
          <t>USER</t>
        </is>
      </c>
      <c r="C36" s="20" t="inlineStr">
        <is>
          <t>Gửi file &amp; truy xuất</t>
        </is>
      </c>
      <c r="D36" s="20" t="inlineStr">
        <is>
          <t>Upload Word</t>
        </is>
      </c>
      <c r="E36" s="20" t="inlineStr">
        <is>
          <t>Gửi file .docx + hỏi tóm tắt</t>
        </is>
      </c>
      <c r="F36" s="20" t="inlineStr">
        <is>
          <t>Tóm tắt đúng, đầy đủ ý chính</t>
        </is>
      </c>
      <c r="G36" s="20" t="inlineStr"/>
      <c r="H36" s="20" t="inlineStr"/>
      <c r="I36" s="19" t="inlineStr"/>
      <c r="J36" s="19" t="inlineStr"/>
      <c r="K36" s="21" t="inlineStr"/>
      <c r="L36" s="20" t="inlineStr"/>
      <c r="M36" s="20" t="inlineStr"/>
    </row>
    <row r="37" ht="40" customHeight="1">
      <c r="A37" s="19" t="n">
        <v>33</v>
      </c>
      <c r="B37" s="19" t="inlineStr">
        <is>
          <t>USER</t>
        </is>
      </c>
      <c r="C37" s="20" t="inlineStr">
        <is>
          <t>Gửi file &amp; truy xuất</t>
        </is>
      </c>
      <c r="D37" s="20" t="inlineStr">
        <is>
          <t>Upload Excel</t>
        </is>
      </c>
      <c r="E37" s="20" t="inlineStr">
        <is>
          <t>Gửi file Excel số liệu + hỏi tổng</t>
        </is>
      </c>
      <c r="F37" s="20" t="inlineStr">
        <is>
          <t>Đọc số liệu, trả lời đúng</t>
        </is>
      </c>
      <c r="G37" s="20" t="inlineStr"/>
      <c r="H37" s="20" t="inlineStr"/>
      <c r="I37" s="19" t="inlineStr"/>
      <c r="J37" s="19" t="inlineStr"/>
      <c r="K37" s="21" t="inlineStr"/>
      <c r="L37" s="20" t="inlineStr"/>
      <c r="M37" s="20" t="inlineStr"/>
    </row>
    <row r="38" ht="40" customHeight="1">
      <c r="A38" s="19" t="n">
        <v>34</v>
      </c>
      <c r="B38" s="19" t="inlineStr">
        <is>
          <t>USER</t>
        </is>
      </c>
      <c r="C38" s="20" t="inlineStr">
        <is>
          <t>Gửi file &amp; truy xuất</t>
        </is>
      </c>
      <c r="D38" s="20" t="inlineStr">
        <is>
          <t>Upload CSV</t>
        </is>
      </c>
      <c r="E38" s="20" t="inlineStr">
        <is>
          <t>Gửi file CSV + hỏi thông tin</t>
        </is>
      </c>
      <c r="F38" s="20" t="inlineStr">
        <is>
          <t>Đọc đúng, trả lời chính xác</t>
        </is>
      </c>
      <c r="G38" s="20" t="inlineStr"/>
      <c r="H38" s="20" t="inlineStr"/>
      <c r="I38" s="19" t="inlineStr"/>
      <c r="J38" s="19" t="inlineStr"/>
      <c r="K38" s="21" t="inlineStr"/>
      <c r="L38" s="20" t="inlineStr"/>
      <c r="M38" s="20" t="inlineStr"/>
    </row>
    <row r="39" ht="40" customHeight="1">
      <c r="A39" s="19" t="n">
        <v>35</v>
      </c>
      <c r="B39" s="19" t="inlineStr">
        <is>
          <t>USER</t>
        </is>
      </c>
      <c r="C39" s="20" t="inlineStr">
        <is>
          <t>Gửi file &amp; truy xuất</t>
        </is>
      </c>
      <c r="D39" s="20" t="inlineStr">
        <is>
          <t>Upload TXT</t>
        </is>
      </c>
      <c r="E39" s="20" t="inlineStr">
        <is>
          <t>Gửi file .txt + hỏi nội dung</t>
        </is>
      </c>
      <c r="F39" s="20" t="inlineStr">
        <is>
          <t>Đọc và trả lời đúng</t>
        </is>
      </c>
      <c r="G39" s="20" t="inlineStr"/>
      <c r="H39" s="20" t="inlineStr"/>
      <c r="I39" s="19" t="inlineStr"/>
      <c r="J39" s="19" t="inlineStr"/>
      <c r="K39" s="21" t="inlineStr"/>
      <c r="L39" s="20" t="inlineStr"/>
      <c r="M39" s="20" t="inlineStr"/>
    </row>
    <row r="40" ht="40" customHeight="1">
      <c r="A40" s="19" t="n">
        <v>36</v>
      </c>
      <c r="B40" s="19" t="inlineStr">
        <is>
          <t>USER</t>
        </is>
      </c>
      <c r="C40" s="20" t="inlineStr">
        <is>
          <t>Gửi file &amp; truy xuất</t>
        </is>
      </c>
      <c r="D40" s="20" t="inlineStr">
        <is>
          <t>Upload nhiều file</t>
        </is>
      </c>
      <c r="E40" s="20" t="inlineStr">
        <is>
          <t>Gửi 3 file khác định dạng cùng lúc</t>
        </is>
      </c>
      <c r="F40" s="20" t="inlineStr">
        <is>
          <t>Xử lý tất cả, trả lời liên quan</t>
        </is>
      </c>
      <c r="G40" s="20" t="inlineStr"/>
      <c r="H40" s="20" t="inlineStr"/>
      <c r="I40" s="19" t="inlineStr"/>
      <c r="J40" s="19" t="inlineStr"/>
      <c r="K40" s="21" t="inlineStr"/>
      <c r="L40" s="20" t="inlineStr"/>
      <c r="M40" s="20" t="inlineStr"/>
    </row>
    <row r="41" ht="40" customHeight="1">
      <c r="A41" s="19" t="n">
        <v>37</v>
      </c>
      <c r="B41" s="19" t="inlineStr">
        <is>
          <t>USER</t>
        </is>
      </c>
      <c r="C41" s="20" t="inlineStr">
        <is>
          <t>Gửi file &amp; truy xuất</t>
        </is>
      </c>
      <c r="D41" s="20" t="inlineStr">
        <is>
          <t>Upload file lớn</t>
        </is>
      </c>
      <c r="E41" s="20" t="inlineStr">
        <is>
          <t>Gửi file PDF ~20-30MB</t>
        </is>
      </c>
      <c r="F41" s="20" t="inlineStr">
        <is>
          <t>Thành công hoặc báo lỗi rõ ràng</t>
        </is>
      </c>
      <c r="G41" s="20" t="inlineStr"/>
      <c r="H41" s="20" t="inlineStr"/>
      <c r="I41" s="19" t="inlineStr"/>
      <c r="J41" s="19" t="inlineStr"/>
      <c r="K41" s="21" t="inlineStr"/>
      <c r="L41" s="20" t="inlineStr"/>
      <c r="M41" s="20" t="inlineStr"/>
    </row>
    <row r="42" ht="40" customHeight="1">
      <c r="A42" s="19" t="n">
        <v>38</v>
      </c>
      <c r="B42" s="19" t="inlineStr">
        <is>
          <t>USER</t>
        </is>
      </c>
      <c r="C42" s="20" t="inlineStr">
        <is>
          <t>Gửi file &amp; truy xuất</t>
        </is>
      </c>
      <c r="D42" s="20" t="inlineStr">
        <is>
          <t>Hỏi đáp sâu file</t>
        </is>
      </c>
      <c r="E42" s="20" t="inlineStr">
        <is>
          <t>Upload → hỏi 3-4 câu liên tiếp</t>
        </is>
      </c>
      <c r="F42" s="20" t="inlineStr">
        <is>
          <t>AI nhớ file, trả lời chính xác</t>
        </is>
      </c>
      <c r="G42" s="20" t="inlineStr"/>
      <c r="H42" s="20" t="inlineStr"/>
      <c r="I42" s="19" t="inlineStr"/>
      <c r="J42" s="19" t="inlineStr"/>
      <c r="K42" s="21" t="inlineStr"/>
      <c r="L42" s="20" t="inlineStr"/>
      <c r="M42" s="20" t="inlineStr"/>
    </row>
    <row r="43" ht="40" customHeight="1">
      <c r="A43" s="19" t="n">
        <v>39</v>
      </c>
      <c r="B43" s="19" t="inlineStr">
        <is>
          <t>USER</t>
        </is>
      </c>
      <c r="C43" s="20" t="inlineStr">
        <is>
          <t>Gửi file &amp; truy xuất</t>
        </is>
      </c>
      <c r="D43" s="20" t="inlineStr">
        <is>
          <t>Upload HTML</t>
        </is>
      </c>
      <c r="E43" s="20" t="inlineStr">
        <is>
          <t>Gửi file .html + hỏi</t>
        </is>
      </c>
      <c r="F43" s="20" t="inlineStr">
        <is>
          <t>Đọc được nội dung text</t>
        </is>
      </c>
      <c r="G43" s="20" t="inlineStr"/>
      <c r="H43" s="20" t="inlineStr"/>
      <c r="I43" s="19" t="inlineStr"/>
      <c r="J43" s="19" t="inlineStr"/>
      <c r="K43" s="21" t="inlineStr"/>
      <c r="L43" s="20" t="inlineStr"/>
      <c r="M43" s="20" t="inlineStr"/>
    </row>
    <row r="44" ht="40" customHeight="1">
      <c r="A44" s="19" t="n">
        <v>40</v>
      </c>
      <c r="B44" s="19" t="inlineStr">
        <is>
          <t>USER</t>
        </is>
      </c>
      <c r="C44" s="20" t="inlineStr">
        <is>
          <t>Gửi file &amp; truy xuất</t>
        </is>
      </c>
      <c r="D44" s="20" t="inlineStr">
        <is>
          <t>Trích dẫn nguồn</t>
        </is>
      </c>
      <c r="E44" s="20" t="inlineStr">
        <is>
          <t>Hỏi từ file đã upload</t>
        </is>
      </c>
      <c r="F44" s="20" t="inlineStr">
        <is>
          <t>Trích dẫn tên file, trang nguồn</t>
        </is>
      </c>
      <c r="G44" s="20" t="inlineStr"/>
      <c r="H44" s="20" t="inlineStr"/>
      <c r="I44" s="19" t="inlineStr"/>
      <c r="J44" s="19" t="inlineStr"/>
      <c r="K44" s="21" t="inlineStr"/>
      <c r="L44" s="20" t="inlineStr"/>
      <c r="M44" s="20" t="inlineStr"/>
    </row>
    <row r="45" ht="40" customHeight="1">
      <c r="A45" s="22" t="n">
        <v>41</v>
      </c>
      <c r="B45" s="22" t="inlineStr">
        <is>
          <t>USER</t>
        </is>
      </c>
      <c r="C45" s="23" t="inlineStr">
        <is>
          <t>Chọn Model</t>
        </is>
      </c>
      <c r="D45" s="23" t="inlineStr">
        <is>
          <t>Danh sách model</t>
        </is>
      </c>
      <c r="E45" s="23" t="inlineStr">
        <is>
          <t>Mở dropdown chọn model</t>
        </is>
      </c>
      <c r="F45" s="23" t="inlineStr">
        <is>
          <t>Hiển thị đầy đủ tất cả model (4 providers)</t>
        </is>
      </c>
      <c r="G45" s="23" t="inlineStr"/>
      <c r="H45" s="23" t="inlineStr"/>
      <c r="I45" s="22" t="inlineStr"/>
      <c r="J45" s="22" t="inlineStr"/>
      <c r="K45" s="24" t="inlineStr"/>
      <c r="L45" s="23" t="inlineStr"/>
      <c r="M45" s="23" t="inlineStr"/>
    </row>
    <row r="46" ht="40" customHeight="1">
      <c r="A46" s="22" t="n">
        <v>42</v>
      </c>
      <c r="B46" s="22" t="inlineStr">
        <is>
          <t>USER</t>
        </is>
      </c>
      <c r="C46" s="23" t="inlineStr">
        <is>
          <t>Chọn Model</t>
        </is>
      </c>
      <c r="D46" s="23" t="inlineStr">
        <is>
          <t>GPT-5.4 (OpenAI Flagship)</t>
        </is>
      </c>
      <c r="E46" s="23" t="inlineStr">
        <is>
          <t>Chọn gpt-5.4 → hỏi 1 câu</t>
        </is>
      </c>
      <c r="F46" s="23" t="inlineStr">
        <is>
          <t>Trả lời thành công, chất lượng cao nhất</t>
        </is>
      </c>
      <c r="G46" s="23" t="inlineStr"/>
      <c r="H46" s="23" t="inlineStr"/>
      <c r="I46" s="22" t="inlineStr"/>
      <c r="J46" s="22" t="inlineStr"/>
      <c r="K46" s="24" t="inlineStr"/>
      <c r="L46" s="23" t="inlineStr"/>
      <c r="M46" s="23" t="inlineStr"/>
    </row>
    <row r="47" ht="40" customHeight="1">
      <c r="A47" s="22" t="n">
        <v>43</v>
      </c>
      <c r="B47" s="22" t="inlineStr">
        <is>
          <t>USER</t>
        </is>
      </c>
      <c r="C47" s="23" t="inlineStr">
        <is>
          <t>Chọn Model</t>
        </is>
      </c>
      <c r="D47" s="23" t="inlineStr">
        <is>
          <t>GPT-5.2 (OpenAI)</t>
        </is>
      </c>
      <c r="E47" s="23" t="inlineStr">
        <is>
          <t>Chọn gpt-5.2 → hỏi 1 câu</t>
        </is>
      </c>
      <c r="F47" s="23" t="inlineStr">
        <is>
          <t>Trả lời nhanh, chất lượng tốt</t>
        </is>
      </c>
      <c r="G47" s="23" t="inlineStr"/>
      <c r="H47" s="23" t="inlineStr"/>
      <c r="I47" s="22" t="inlineStr"/>
      <c r="J47" s="22" t="inlineStr"/>
      <c r="K47" s="24" t="inlineStr"/>
      <c r="L47" s="23" t="inlineStr"/>
      <c r="M47" s="23" t="inlineStr"/>
    </row>
    <row r="48" ht="40" customHeight="1">
      <c r="A48" s="22" t="n">
        <v>44</v>
      </c>
      <c r="B48" s="22" t="inlineStr">
        <is>
          <t>USER</t>
        </is>
      </c>
      <c r="C48" s="23" t="inlineStr">
        <is>
          <t>Chọn Model</t>
        </is>
      </c>
      <c r="D48" s="23" t="inlineStr">
        <is>
          <t>GPT-5 (OpenAI)</t>
        </is>
      </c>
      <c r="E48" s="23" t="inlineStr">
        <is>
          <t>Chọn gpt-5 → hỏi 1 câu</t>
        </is>
      </c>
      <c r="F48" s="23" t="inlineStr">
        <is>
          <t>Trả lời thành công, cân bằng giá/chất lượng</t>
        </is>
      </c>
      <c r="G48" s="23" t="inlineStr"/>
      <c r="H48" s="23" t="inlineStr"/>
      <c r="I48" s="22" t="inlineStr"/>
      <c r="J48" s="22" t="inlineStr"/>
      <c r="K48" s="24" t="inlineStr"/>
      <c r="L48" s="23" t="inlineStr"/>
      <c r="M48" s="23" t="inlineStr"/>
    </row>
    <row r="49" ht="40" customHeight="1">
      <c r="A49" s="22" t="n">
        <v>45</v>
      </c>
      <c r="B49" s="22" t="inlineStr">
        <is>
          <t>USER</t>
        </is>
      </c>
      <c r="C49" s="23" t="inlineStr">
        <is>
          <t>Chọn Model</t>
        </is>
      </c>
      <c r="D49" s="23" t="inlineStr">
        <is>
          <t>Gemini 3.1 Pro (Google)</t>
        </is>
      </c>
      <c r="E49" s="23" t="inlineStr">
        <is>
          <t>Chọn gemini-3.1-pro-preview → hỏi 1 câu</t>
        </is>
      </c>
      <c r="F49" s="23" t="inlineStr">
        <is>
          <t>Flagship Google, reasoning mạnh, TV tốt</t>
        </is>
      </c>
      <c r="G49" s="23" t="inlineStr"/>
      <c r="H49" s="23" t="inlineStr"/>
      <c r="I49" s="22" t="inlineStr"/>
      <c r="J49" s="22" t="inlineStr"/>
      <c r="K49" s="24" t="inlineStr"/>
      <c r="L49" s="23" t="inlineStr"/>
      <c r="M49" s="23" t="inlineStr"/>
    </row>
    <row r="50" ht="40" customHeight="1">
      <c r="A50" s="22" t="n">
        <v>46</v>
      </c>
      <c r="B50" s="22" t="inlineStr">
        <is>
          <t>USER</t>
        </is>
      </c>
      <c r="C50" s="23" t="inlineStr">
        <is>
          <t>Chọn Model</t>
        </is>
      </c>
      <c r="D50" s="23" t="inlineStr">
        <is>
          <t>Gemini 3.1 Flash Lite (Google)</t>
        </is>
      </c>
      <c r="E50" s="23" t="inlineStr">
        <is>
          <t>Chọn gemini-3.1-flash-lite-preview → hỏi 1 câu</t>
        </is>
      </c>
      <c r="F50" s="23" t="inlineStr">
        <is>
          <t>Trả lời nhanh, chi phí thấp</t>
        </is>
      </c>
      <c r="G50" s="23" t="inlineStr"/>
      <c r="H50" s="23" t="inlineStr"/>
      <c r="I50" s="22" t="inlineStr"/>
      <c r="J50" s="22" t="inlineStr"/>
      <c r="K50" s="24" t="inlineStr"/>
      <c r="L50" s="23" t="inlineStr"/>
      <c r="M50" s="23" t="inlineStr"/>
    </row>
    <row r="51" ht="40" customHeight="1">
      <c r="A51" s="22" t="n">
        <v>47</v>
      </c>
      <c r="B51" s="22" t="inlineStr">
        <is>
          <t>USER</t>
        </is>
      </c>
      <c r="C51" s="23" t="inlineStr">
        <is>
          <t>Chọn Model</t>
        </is>
      </c>
      <c r="D51" s="23" t="inlineStr">
        <is>
          <t>Gemini 2.5 Flash (Google)</t>
        </is>
      </c>
      <c r="E51" s="23" t="inlineStr">
        <is>
          <t>Chọn gemini-2.5-flash → hỏi 1 câu</t>
        </is>
      </c>
      <c r="F51" s="23" t="inlineStr">
        <is>
          <t>Trả lời nhanh, chất lượng ổn</t>
        </is>
      </c>
      <c r="G51" s="23" t="inlineStr"/>
      <c r="H51" s="23" t="inlineStr"/>
      <c r="I51" s="22" t="inlineStr"/>
      <c r="J51" s="22" t="inlineStr"/>
      <c r="K51" s="24" t="inlineStr"/>
      <c r="L51" s="23" t="inlineStr"/>
      <c r="M51" s="23" t="inlineStr"/>
    </row>
    <row r="52" ht="40" customHeight="1">
      <c r="A52" s="22" t="n">
        <v>48</v>
      </c>
      <c r="B52" s="22" t="inlineStr">
        <is>
          <t>USER</t>
        </is>
      </c>
      <c r="C52" s="23" t="inlineStr">
        <is>
          <t>Chọn Model</t>
        </is>
      </c>
      <c r="D52" s="23" t="inlineStr">
        <is>
          <t>Grok 4.20 Reasoning (xAI)</t>
        </is>
      </c>
      <c r="E52" s="23" t="inlineStr">
        <is>
          <t>Chọn grok-4.20-reasoning → hỏi 1 câu</t>
        </is>
      </c>
      <c r="F52" s="23" t="inlineStr">
        <is>
          <t>Reasoning mạnh, trả lời chi tiết</t>
        </is>
      </c>
      <c r="G52" s="23" t="inlineStr"/>
      <c r="H52" s="23" t="inlineStr"/>
      <c r="I52" s="22" t="inlineStr"/>
      <c r="J52" s="22" t="inlineStr"/>
      <c r="K52" s="24" t="inlineStr"/>
      <c r="L52" s="23" t="inlineStr"/>
      <c r="M52" s="23" t="inlineStr"/>
    </row>
    <row r="53" ht="40" customHeight="1">
      <c r="A53" s="22" t="n">
        <v>49</v>
      </c>
      <c r="B53" s="22" t="inlineStr">
        <is>
          <t>USER</t>
        </is>
      </c>
      <c r="C53" s="23" t="inlineStr">
        <is>
          <t>Chọn Model</t>
        </is>
      </c>
      <c r="D53" s="23" t="inlineStr">
        <is>
          <t>Grok 4-1 Fast (xAI)</t>
        </is>
      </c>
      <c r="E53" s="23" t="inlineStr">
        <is>
          <t>Chọn grok-4-1-fast-reasoning → hỏi 1 câu</t>
        </is>
      </c>
      <c r="F53" s="23" t="inlineStr">
        <is>
          <t>Trả lời nhanh, chi phí thấp</t>
        </is>
      </c>
      <c r="G53" s="23" t="inlineStr"/>
      <c r="H53" s="23" t="inlineStr"/>
      <c r="I53" s="22" t="inlineStr"/>
      <c r="J53" s="22" t="inlineStr"/>
      <c r="K53" s="24" t="inlineStr"/>
      <c r="L53" s="23" t="inlineStr"/>
      <c r="M53" s="23" t="inlineStr"/>
    </row>
    <row r="54" ht="40" customHeight="1">
      <c r="A54" s="22" t="n">
        <v>50</v>
      </c>
      <c r="B54" s="22" t="inlineStr">
        <is>
          <t>USER</t>
        </is>
      </c>
      <c r="C54" s="23" t="inlineStr">
        <is>
          <t>Chọn Model</t>
        </is>
      </c>
      <c r="D54" s="23" t="inlineStr">
        <is>
          <t>Grok 4-1 Fast Lite (xAI)</t>
        </is>
      </c>
      <c r="E54" s="23" t="inlineStr">
        <is>
          <t>Chọn grok-4-1-fast-non-reasoning → hỏi 1 câu</t>
        </is>
      </c>
      <c r="F54" s="23" t="inlineStr">
        <is>
          <t>Fastest, no reasoning, chi phí thấp nhất</t>
        </is>
      </c>
      <c r="G54" s="23" t="inlineStr"/>
      <c r="H54" s="23" t="inlineStr"/>
      <c r="I54" s="22" t="inlineStr"/>
      <c r="J54" s="22" t="inlineStr"/>
      <c r="K54" s="24" t="inlineStr"/>
      <c r="L54" s="23" t="inlineStr"/>
      <c r="M54" s="23" t="inlineStr"/>
    </row>
    <row r="55" ht="40" customHeight="1">
      <c r="A55" s="22" t="n">
        <v>51</v>
      </c>
      <c r="B55" s="22" t="inlineStr">
        <is>
          <t>USER</t>
        </is>
      </c>
      <c r="C55" s="23" t="inlineStr">
        <is>
          <t>Chọn Model</t>
        </is>
      </c>
      <c r="D55" s="23" t="inlineStr">
        <is>
          <t>Claude Opus 4.6 (Anthropic)</t>
        </is>
      </c>
      <c r="E55" s="23" t="inlineStr">
        <is>
          <t>Chọn claude-opus-4-6 → hỏi 1 câu</t>
        </is>
      </c>
      <c r="F55" s="23" t="inlineStr">
        <is>
          <t>Flagship Anthropic, chất lượng cao</t>
        </is>
      </c>
      <c r="G55" s="23" t="inlineStr"/>
      <c r="H55" s="23" t="inlineStr"/>
      <c r="I55" s="22" t="inlineStr"/>
      <c r="J55" s="22" t="inlineStr"/>
      <c r="K55" s="24" t="inlineStr"/>
      <c r="L55" s="23" t="inlineStr"/>
      <c r="M55" s="23" t="inlineStr"/>
    </row>
    <row r="56" ht="40" customHeight="1">
      <c r="A56" s="22" t="n">
        <v>52</v>
      </c>
      <c r="B56" s="22" t="inlineStr">
        <is>
          <t>USER</t>
        </is>
      </c>
      <c r="C56" s="23" t="inlineStr">
        <is>
          <t>Chọn Model</t>
        </is>
      </c>
      <c r="D56" s="23" t="inlineStr">
        <is>
          <t>Claude Sonnet 4.6 (Anthropic)</t>
        </is>
      </c>
      <c r="E56" s="23" t="inlineStr">
        <is>
          <t>Chọn claude-sonnet-4-6 → hỏi 1 câu</t>
        </is>
      </c>
      <c r="F56" s="23" t="inlineStr">
        <is>
          <t>Cân bằng giá/chất lượng</t>
        </is>
      </c>
      <c r="G56" s="23" t="inlineStr"/>
      <c r="H56" s="23" t="inlineStr"/>
      <c r="I56" s="22" t="inlineStr"/>
      <c r="J56" s="22" t="inlineStr"/>
      <c r="K56" s="24" t="inlineStr"/>
      <c r="L56" s="23" t="inlineStr"/>
      <c r="M56" s="23" t="inlineStr"/>
    </row>
    <row r="57" ht="40" customHeight="1">
      <c r="A57" s="22" t="n">
        <v>53</v>
      </c>
      <c r="B57" s="22" t="inlineStr">
        <is>
          <t>USER</t>
        </is>
      </c>
      <c r="C57" s="23" t="inlineStr">
        <is>
          <t>Chọn Model</t>
        </is>
      </c>
      <c r="D57" s="23" t="inlineStr">
        <is>
          <t>Claude Haiku 4.5 (Anthropic)</t>
        </is>
      </c>
      <c r="E57" s="23" t="inlineStr">
        <is>
          <t>Chọn claude-haiku-4-5 → hỏi 1 câu</t>
        </is>
      </c>
      <c r="F57" s="23" t="inlineStr">
        <is>
          <t>Trả lời nhanh, chi phí thấp</t>
        </is>
      </c>
      <c r="G57" s="23" t="inlineStr"/>
      <c r="H57" s="23" t="inlineStr"/>
      <c r="I57" s="22" t="inlineStr"/>
      <c r="J57" s="22" t="inlineStr"/>
      <c r="K57" s="24" t="inlineStr"/>
      <c r="L57" s="23" t="inlineStr"/>
      <c r="M57" s="23" t="inlineStr"/>
    </row>
    <row r="58" ht="40" customHeight="1">
      <c r="A58" s="22" t="n">
        <v>54</v>
      </c>
      <c r="B58" s="22" t="inlineStr">
        <is>
          <t>USER</t>
        </is>
      </c>
      <c r="C58" s="23" t="inlineStr">
        <is>
          <t>Chọn Model</t>
        </is>
      </c>
      <c r="D58" s="23" t="inlineStr">
        <is>
          <t>Chuyển model giữa chừng</t>
        </is>
      </c>
      <c r="E58" s="23" t="inlineStr">
        <is>
          <t>Chat gpt-5.4 → đổi claude-opus-4-6 → hỏi tiếp</t>
        </is>
      </c>
      <c r="F58" s="23" t="inlineStr">
        <is>
          <t>Hội thoại tiếp tục đúng</t>
        </is>
      </c>
      <c r="G58" s="23" t="inlineStr"/>
      <c r="H58" s="23" t="inlineStr"/>
      <c r="I58" s="22" t="inlineStr"/>
      <c r="J58" s="22" t="inlineStr"/>
      <c r="K58" s="24" t="inlineStr"/>
      <c r="L58" s="23" t="inlineStr"/>
      <c r="M58" s="23" t="inlineStr"/>
    </row>
    <row r="59" ht="40" customHeight="1">
      <c r="A59" s="22" t="n">
        <v>55</v>
      </c>
      <c r="B59" s="22" t="inlineStr">
        <is>
          <t>USER</t>
        </is>
      </c>
      <c r="C59" s="23" t="inlineStr">
        <is>
          <t>Chọn Model</t>
        </is>
      </c>
      <c r="D59" s="23" t="inlineStr">
        <is>
          <t>Model mặc định</t>
        </is>
      </c>
      <c r="E59" s="23" t="inlineStr">
        <is>
          <t>Settings → chọn model mặc định</t>
        </is>
      </c>
      <c r="F59" s="23" t="inlineStr">
        <is>
          <t>Chat mới dùng model đã chọn</t>
        </is>
      </c>
      <c r="G59" s="23" t="inlineStr"/>
      <c r="H59" s="23" t="inlineStr"/>
      <c r="I59" s="22" t="inlineStr"/>
      <c r="J59" s="22" t="inlineStr"/>
      <c r="K59" s="24" t="inlineStr"/>
      <c r="L59" s="23" t="inlineStr"/>
      <c r="M59" s="23" t="inlineStr"/>
    </row>
    <row r="60" ht="40" customHeight="1">
      <c r="A60" s="25" t="n">
        <v>56</v>
      </c>
      <c r="B60" s="25" t="inlineStr">
        <is>
          <t>USER</t>
        </is>
      </c>
      <c r="C60" s="26" t="inlineStr">
        <is>
          <t>Kho kiến thức</t>
        </is>
      </c>
      <c r="D60" s="26" t="inlineStr">
        <is>
          <t>Tạo Knowledge</t>
        </is>
      </c>
      <c r="E60" s="26" t="inlineStr">
        <is>
          <t>Workspace → Knowledge → Create</t>
        </is>
      </c>
      <c r="F60" s="26" t="inlineStr">
        <is>
          <t>Collection tạo thành công</t>
        </is>
      </c>
      <c r="G60" s="26" t="inlineStr"/>
      <c r="H60" s="26" t="inlineStr"/>
      <c r="I60" s="25" t="inlineStr"/>
      <c r="J60" s="25" t="inlineStr"/>
      <c r="K60" s="27" t="inlineStr"/>
      <c r="L60" s="26" t="inlineStr"/>
      <c r="M60" s="26" t="inlineStr"/>
    </row>
    <row r="61" ht="40" customHeight="1">
      <c r="A61" s="25" t="n">
        <v>57</v>
      </c>
      <c r="B61" s="25" t="inlineStr">
        <is>
          <t>USER</t>
        </is>
      </c>
      <c r="C61" s="26" t="inlineStr">
        <is>
          <t>Kho kiến thức</t>
        </is>
      </c>
      <c r="D61" s="26" t="inlineStr">
        <is>
          <t>Upload PDF</t>
        </is>
      </c>
      <c r="E61" s="26" t="inlineStr">
        <is>
          <t>Upload file PDF ~5MB vào Knowledge</t>
        </is>
      </c>
      <c r="F61" s="26" t="inlineStr">
        <is>
          <t>Upload thành công, được index</t>
        </is>
      </c>
      <c r="G61" s="26" t="inlineStr"/>
      <c r="H61" s="26" t="inlineStr"/>
      <c r="I61" s="25" t="inlineStr"/>
      <c r="J61" s="25" t="inlineStr"/>
      <c r="K61" s="27" t="inlineStr"/>
      <c r="L61" s="26" t="inlineStr"/>
      <c r="M61" s="26" t="inlineStr"/>
    </row>
    <row r="62" ht="40" customHeight="1">
      <c r="A62" s="25" t="n">
        <v>58</v>
      </c>
      <c r="B62" s="25" t="inlineStr">
        <is>
          <t>USER</t>
        </is>
      </c>
      <c r="C62" s="26" t="inlineStr">
        <is>
          <t>Kho kiến thức</t>
        </is>
      </c>
      <c r="D62" s="26" t="inlineStr">
        <is>
          <t>Upload Word</t>
        </is>
      </c>
      <c r="E62" s="26" t="inlineStr">
        <is>
          <t>Upload file .docx vào Knowledge</t>
        </is>
      </c>
      <c r="F62" s="26" t="inlineStr">
        <is>
          <t>Upload thành công</t>
        </is>
      </c>
      <c r="G62" s="26" t="inlineStr"/>
      <c r="H62" s="26" t="inlineStr"/>
      <c r="I62" s="25" t="inlineStr"/>
      <c r="J62" s="25" t="inlineStr"/>
      <c r="K62" s="27" t="inlineStr"/>
      <c r="L62" s="26" t="inlineStr"/>
      <c r="M62" s="26" t="inlineStr"/>
    </row>
    <row r="63" ht="40" customHeight="1">
      <c r="A63" s="25" t="n">
        <v>59</v>
      </c>
      <c r="B63" s="25" t="inlineStr">
        <is>
          <t>USER</t>
        </is>
      </c>
      <c r="C63" s="26" t="inlineStr">
        <is>
          <t>Kho kiến thức</t>
        </is>
      </c>
      <c r="D63" s="26" t="inlineStr">
        <is>
          <t>Upload Excel</t>
        </is>
      </c>
      <c r="E63" s="26" t="inlineStr">
        <is>
          <t>Upload file .xlsx vào Knowledge</t>
        </is>
      </c>
      <c r="F63" s="26" t="inlineStr">
        <is>
          <t>Upload thành công</t>
        </is>
      </c>
      <c r="G63" s="26" t="inlineStr"/>
      <c r="H63" s="26" t="inlineStr"/>
      <c r="I63" s="25" t="inlineStr"/>
      <c r="J63" s="25" t="inlineStr"/>
      <c r="K63" s="27" t="inlineStr"/>
      <c r="L63" s="26" t="inlineStr"/>
      <c r="M63" s="26" t="inlineStr"/>
    </row>
    <row r="64" ht="40" customHeight="1">
      <c r="A64" s="25" t="n">
        <v>60</v>
      </c>
      <c r="B64" s="25" t="inlineStr">
        <is>
          <t>USER</t>
        </is>
      </c>
      <c r="C64" s="26" t="inlineStr">
        <is>
          <t>Kho kiến thức</t>
        </is>
      </c>
      <c r="D64" s="26" t="inlineStr">
        <is>
          <t>Upload CSV</t>
        </is>
      </c>
      <c r="E64" s="26" t="inlineStr">
        <is>
          <t>Upload file .csv vào Knowledge</t>
        </is>
      </c>
      <c r="F64" s="26" t="inlineStr">
        <is>
          <t>Upload thành công</t>
        </is>
      </c>
      <c r="G64" s="26" t="inlineStr"/>
      <c r="H64" s="26" t="inlineStr"/>
      <c r="I64" s="25" t="inlineStr"/>
      <c r="J64" s="25" t="inlineStr"/>
      <c r="K64" s="27" t="inlineStr"/>
      <c r="L64" s="26" t="inlineStr"/>
      <c r="M64" s="26" t="inlineStr"/>
    </row>
    <row r="65" ht="40" customHeight="1">
      <c r="A65" s="25" t="n">
        <v>61</v>
      </c>
      <c r="B65" s="25" t="inlineStr">
        <is>
          <t>USER</t>
        </is>
      </c>
      <c r="C65" s="26" t="inlineStr">
        <is>
          <t>Kho kiến thức</t>
        </is>
      </c>
      <c r="D65" s="26" t="inlineStr">
        <is>
          <t>Upload nhiều file</t>
        </is>
      </c>
      <c r="E65" s="26" t="inlineStr">
        <is>
          <t>Upload 5+ file khác nhau vào 1 Knowledge</t>
        </is>
      </c>
      <c r="F65" s="26" t="inlineStr">
        <is>
          <t>Tất cả upload thành công</t>
        </is>
      </c>
      <c r="G65" s="26" t="inlineStr"/>
      <c r="H65" s="26" t="inlineStr"/>
      <c r="I65" s="25" t="inlineStr"/>
      <c r="J65" s="25" t="inlineStr"/>
      <c r="K65" s="27" t="inlineStr"/>
      <c r="L65" s="26" t="inlineStr"/>
      <c r="M65" s="26" t="inlineStr"/>
    </row>
    <row r="66" ht="40" customHeight="1">
      <c r="A66" s="25" t="n">
        <v>62</v>
      </c>
      <c r="B66" s="25" t="inlineStr">
        <is>
          <t>USER</t>
        </is>
      </c>
      <c r="C66" s="26" t="inlineStr">
        <is>
          <t>Kho kiến thức</t>
        </is>
      </c>
      <c r="D66" s="26" t="inlineStr">
        <is>
          <t>Upload file lớn</t>
        </is>
      </c>
      <c r="E66" s="26" t="inlineStr">
        <is>
          <t>Upload file ~30-50MB</t>
        </is>
      </c>
      <c r="F66" s="26" t="inlineStr">
        <is>
          <t>Thành công hoặc báo lỗi rõ</t>
        </is>
      </c>
      <c r="G66" s="26" t="inlineStr"/>
      <c r="H66" s="26" t="inlineStr"/>
      <c r="I66" s="25" t="inlineStr"/>
      <c r="J66" s="25" t="inlineStr"/>
      <c r="K66" s="27" t="inlineStr"/>
      <c r="L66" s="26" t="inlineStr"/>
      <c r="M66" s="26" t="inlineStr"/>
    </row>
    <row r="67" ht="40" customHeight="1">
      <c r="A67" s="25" t="n">
        <v>63</v>
      </c>
      <c r="B67" s="25" t="inlineStr">
        <is>
          <t>USER</t>
        </is>
      </c>
      <c r="C67" s="26" t="inlineStr">
        <is>
          <t>Kho kiến thức</t>
        </is>
      </c>
      <c r="D67" s="26" t="inlineStr">
        <is>
          <t>Gọi Knowledge #</t>
        </is>
      </c>
      <c r="E67" s="26" t="inlineStr">
        <is>
          <t>Trong chat gõ #tên-knowledge</t>
        </is>
      </c>
      <c r="F67" s="26" t="inlineStr">
        <is>
          <t>Hiển thị gợi ý, chọn được</t>
        </is>
      </c>
      <c r="G67" s="26" t="inlineStr"/>
      <c r="H67" s="26" t="inlineStr"/>
      <c r="I67" s="25" t="inlineStr"/>
      <c r="J67" s="25" t="inlineStr"/>
      <c r="K67" s="27" t="inlineStr"/>
      <c r="L67" s="26" t="inlineStr"/>
      <c r="M67" s="26" t="inlineStr"/>
    </row>
    <row r="68" ht="40" customHeight="1">
      <c r="A68" s="25" t="n">
        <v>64</v>
      </c>
      <c r="B68" s="25" t="inlineStr">
        <is>
          <t>USER</t>
        </is>
      </c>
      <c r="C68" s="26" t="inlineStr">
        <is>
          <t>Kho kiến thức</t>
        </is>
      </c>
      <c r="D68" s="26" t="inlineStr">
        <is>
          <t>Hỏi đáp từ Knowledge</t>
        </is>
      </c>
      <c r="E68" s="26" t="inlineStr">
        <is>
          <t>Gọi # rồi hỏi nội dung</t>
        </is>
      </c>
      <c r="F68" s="26" t="inlineStr">
        <is>
          <t>Trả lời dựa trên Knowledge, trích dẫn</t>
        </is>
      </c>
      <c r="G68" s="26" t="inlineStr"/>
      <c r="H68" s="26" t="inlineStr"/>
      <c r="I68" s="25" t="inlineStr"/>
      <c r="J68" s="25" t="inlineStr"/>
      <c r="K68" s="27" t="inlineStr"/>
      <c r="L68" s="26" t="inlineStr"/>
      <c r="M68" s="26" t="inlineStr"/>
    </row>
    <row r="69" ht="40" customHeight="1">
      <c r="A69" s="25" t="n">
        <v>65</v>
      </c>
      <c r="B69" s="25" t="inlineStr">
        <is>
          <t>USER</t>
        </is>
      </c>
      <c r="C69" s="26" t="inlineStr">
        <is>
          <t>Kho kiến thức</t>
        </is>
      </c>
      <c r="D69" s="26" t="inlineStr">
        <is>
          <t>Xóa file</t>
        </is>
      </c>
      <c r="E69" s="26" t="inlineStr">
        <is>
          <t>Xóa 1 file trong Knowledge</t>
        </is>
      </c>
      <c r="F69" s="26" t="inlineStr">
        <is>
          <t>File + embedding bị xóa</t>
        </is>
      </c>
      <c r="G69" s="26" t="inlineStr"/>
      <c r="H69" s="26" t="inlineStr"/>
      <c r="I69" s="25" t="inlineStr"/>
      <c r="J69" s="25" t="inlineStr"/>
      <c r="K69" s="27" t="inlineStr"/>
      <c r="L69" s="26" t="inlineStr"/>
      <c r="M69" s="26" t="inlineStr"/>
    </row>
    <row r="70" ht="40" customHeight="1">
      <c r="A70" s="25" t="n">
        <v>66</v>
      </c>
      <c r="B70" s="25" t="inlineStr">
        <is>
          <t>USER</t>
        </is>
      </c>
      <c r="C70" s="26" t="inlineStr">
        <is>
          <t>Kho kiến thức</t>
        </is>
      </c>
      <c r="D70" s="26" t="inlineStr">
        <is>
          <t>Xóa Knowledge</t>
        </is>
      </c>
      <c r="E70" s="26" t="inlineStr">
        <is>
          <t>Xóa cả collection</t>
        </is>
      </c>
      <c r="F70" s="26" t="inlineStr">
        <is>
          <t>Collection + tất cả bị xóa</t>
        </is>
      </c>
      <c r="G70" s="26" t="inlineStr"/>
      <c r="H70" s="26" t="inlineStr"/>
      <c r="I70" s="25" t="inlineStr"/>
      <c r="J70" s="25" t="inlineStr"/>
      <c r="K70" s="27" t="inlineStr"/>
      <c r="L70" s="26" t="inlineStr"/>
      <c r="M70" s="26" t="inlineStr"/>
    </row>
    <row r="71" ht="40" customHeight="1">
      <c r="A71" s="28" t="n">
        <v>67</v>
      </c>
      <c r="B71" s="28" t="inlineStr">
        <is>
          <t>USER</t>
        </is>
      </c>
      <c r="C71" s="29" t="inlineStr">
        <is>
          <t>Không gian làm việc</t>
        </is>
      </c>
      <c r="D71" s="29" t="inlineStr">
        <is>
          <t>Tạo Workspace</t>
        </is>
      </c>
      <c r="E71" s="29" t="inlineStr">
        <is>
          <t>Tạo Workspace mới</t>
        </is>
      </c>
      <c r="F71" s="29" t="inlineStr">
        <is>
          <t>Workspace tạo thành công</t>
        </is>
      </c>
      <c r="G71" s="29" t="inlineStr"/>
      <c r="H71" s="29" t="inlineStr"/>
      <c r="I71" s="28" t="inlineStr"/>
      <c r="J71" s="28" t="inlineStr"/>
      <c r="K71" s="30" t="inlineStr"/>
      <c r="L71" s="29" t="inlineStr"/>
      <c r="M71" s="29" t="inlineStr"/>
    </row>
    <row r="72" ht="40" customHeight="1">
      <c r="A72" s="28" t="n">
        <v>68</v>
      </c>
      <c r="B72" s="28" t="inlineStr">
        <is>
          <t>USER</t>
        </is>
      </c>
      <c r="C72" s="29" t="inlineStr">
        <is>
          <t>Không gian làm việc</t>
        </is>
      </c>
      <c r="D72" s="29" t="inlineStr">
        <is>
          <t>Chọn Workspace</t>
        </is>
      </c>
      <c r="E72" s="29" t="inlineStr">
        <is>
          <t>Chuyển đổi giữa các Workspace</t>
        </is>
      </c>
      <c r="F72" s="29" t="inlineStr">
        <is>
          <t>Chuyển mượt, dữ liệu riêng</t>
        </is>
      </c>
      <c r="G72" s="29" t="inlineStr"/>
      <c r="H72" s="29" t="inlineStr"/>
      <c r="I72" s="28" t="inlineStr"/>
      <c r="J72" s="28" t="inlineStr"/>
      <c r="K72" s="30" t="inlineStr"/>
      <c r="L72" s="29" t="inlineStr"/>
      <c r="M72" s="29" t="inlineStr"/>
    </row>
    <row r="73" ht="40" customHeight="1">
      <c r="A73" s="28" t="n">
        <v>69</v>
      </c>
      <c r="B73" s="28" t="inlineStr">
        <is>
          <t>USER</t>
        </is>
      </c>
      <c r="C73" s="29" t="inlineStr">
        <is>
          <t>Không gian làm việc</t>
        </is>
      </c>
      <c r="D73" s="29" t="inlineStr">
        <is>
          <t>Chia sẻ Knowledge</t>
        </is>
      </c>
      <c r="E73" s="29" t="inlineStr">
        <is>
          <t>Chia sẻ Knowledge cho user khác</t>
        </is>
      </c>
      <c r="F73" s="29" t="inlineStr">
        <is>
          <t>User khác truy cập được</t>
        </is>
      </c>
      <c r="G73" s="29" t="inlineStr"/>
      <c r="H73" s="29" t="inlineStr"/>
      <c r="I73" s="28" t="inlineStr"/>
      <c r="J73" s="28" t="inlineStr"/>
      <c r="K73" s="30" t="inlineStr"/>
      <c r="L73" s="29" t="inlineStr"/>
      <c r="M73" s="29" t="inlineStr"/>
    </row>
    <row r="74" ht="40" customHeight="1">
      <c r="A74" s="28" t="n">
        <v>70</v>
      </c>
      <c r="B74" s="28" t="inlineStr">
        <is>
          <t>USER</t>
        </is>
      </c>
      <c r="C74" s="29" t="inlineStr">
        <is>
          <t>Không gian làm việc</t>
        </is>
      </c>
      <c r="D74" s="29" t="inlineStr">
        <is>
          <t>Access control</t>
        </is>
      </c>
      <c r="E74" s="29" t="inlineStr">
        <is>
          <t>Giới hạn quyền truy cập</t>
        </is>
      </c>
      <c r="F74" s="29" t="inlineStr">
        <is>
          <t>Chỉ user được phép mới truy cập</t>
        </is>
      </c>
      <c r="G74" s="29" t="inlineStr"/>
      <c r="H74" s="29" t="inlineStr"/>
      <c r="I74" s="28" t="inlineStr"/>
      <c r="J74" s="28" t="inlineStr"/>
      <c r="K74" s="30" t="inlineStr"/>
      <c r="L74" s="29" t="inlineStr"/>
      <c r="M74" s="29" t="inlineStr"/>
    </row>
    <row r="75" ht="40" customHeight="1">
      <c r="A75" s="31" t="n">
        <v>71</v>
      </c>
      <c r="B75" s="31" t="inlineStr">
        <is>
          <t>USER</t>
        </is>
      </c>
      <c r="C75" s="32" t="inlineStr">
        <is>
          <t>Giọng nói</t>
        </is>
      </c>
      <c r="D75" s="32" t="inlineStr">
        <is>
          <t>Text-to-Speech</t>
        </is>
      </c>
      <c r="E75" s="32" t="inlineStr">
        <is>
          <t>Nhấn icon 🔊 trên response</t>
        </is>
      </c>
      <c r="F75" s="32" t="inlineStr">
        <is>
          <t>AI đọc bằng giọng nói tự nhiên</t>
        </is>
      </c>
      <c r="G75" s="32" t="inlineStr"/>
      <c r="H75" s="32" t="inlineStr"/>
      <c r="I75" s="31" t="inlineStr"/>
      <c r="J75" s="31" t="inlineStr"/>
      <c r="K75" s="33" t="inlineStr"/>
      <c r="L75" s="32" t="inlineStr"/>
      <c r="M75" s="32" t="inlineStr"/>
    </row>
    <row r="76" ht="40" customHeight="1">
      <c r="A76" s="31" t="n">
        <v>72</v>
      </c>
      <c r="B76" s="31" t="inlineStr">
        <is>
          <t>USER</t>
        </is>
      </c>
      <c r="C76" s="32" t="inlineStr">
        <is>
          <t>Giọng nói</t>
        </is>
      </c>
      <c r="D76" s="32" t="inlineStr">
        <is>
          <t>Speech-to-Text</t>
        </is>
      </c>
      <c r="E76" s="32" t="inlineStr">
        <is>
          <t>Nhấn icon 🎤 → nói câu hỏi</t>
        </is>
      </c>
      <c r="F76" s="32" t="inlineStr">
        <is>
          <t>Giọng nói → text chính xác</t>
        </is>
      </c>
      <c r="G76" s="32" t="inlineStr"/>
      <c r="H76" s="32" t="inlineStr"/>
      <c r="I76" s="31" t="inlineStr"/>
      <c r="J76" s="31" t="inlineStr"/>
      <c r="K76" s="33" t="inlineStr"/>
      <c r="L76" s="32" t="inlineStr"/>
      <c r="M76" s="32" t="inlineStr"/>
    </row>
    <row r="77" ht="40" customHeight="1">
      <c r="A77" s="31" t="n">
        <v>73</v>
      </c>
      <c r="B77" s="31" t="inlineStr">
        <is>
          <t>USER</t>
        </is>
      </c>
      <c r="C77" s="32" t="inlineStr">
        <is>
          <t>Giọng nói</t>
        </is>
      </c>
      <c r="D77" s="32" t="inlineStr">
        <is>
          <t>STT tiếng Việt</t>
        </is>
      </c>
      <c r="E77" s="32" t="inlineStr">
        <is>
          <t>Nói bằng tiếng Việt</t>
        </is>
      </c>
      <c r="F77" s="32" t="inlineStr">
        <is>
          <t>Nhận dạng TV chính xác</t>
        </is>
      </c>
      <c r="G77" s="32" t="inlineStr"/>
      <c r="H77" s="32" t="inlineStr"/>
      <c r="I77" s="31" t="inlineStr"/>
      <c r="J77" s="31" t="inlineStr"/>
      <c r="K77" s="33" t="inlineStr"/>
      <c r="L77" s="32" t="inlineStr"/>
      <c r="M77" s="32" t="inlineStr"/>
    </row>
    <row r="78" ht="40" customHeight="1">
      <c r="A78" s="34" t="n">
        <v>74</v>
      </c>
      <c r="B78" s="34" t="inlineStr">
        <is>
          <t>USER</t>
        </is>
      </c>
      <c r="C78" s="35" t="inlineStr">
        <is>
          <t>Tìm kiếm Web</t>
        </is>
      </c>
      <c r="D78" s="35" t="inlineStr">
        <is>
          <t>Web search cơ bản</t>
        </is>
      </c>
      <c r="E78" s="35" t="inlineStr">
        <is>
          <t>Hỏi: "Tin tức mới nhất về AI"</t>
        </is>
      </c>
      <c r="F78" s="35" t="inlineStr">
        <is>
          <t>Search web, trả lời có nguồn trích dẫn</t>
        </is>
      </c>
      <c r="G78" s="35" t="inlineStr"/>
      <c r="H78" s="35" t="inlineStr"/>
      <c r="I78" s="34" t="inlineStr"/>
      <c r="J78" s="34" t="inlineStr"/>
      <c r="K78" s="36" t="inlineStr"/>
      <c r="L78" s="35" t="inlineStr"/>
      <c r="M78" s="35" t="inlineStr"/>
    </row>
    <row r="79" ht="40" customHeight="1">
      <c r="A79" s="34" t="n">
        <v>75</v>
      </c>
      <c r="B79" s="34" t="inlineStr">
        <is>
          <t>USER</t>
        </is>
      </c>
      <c r="C79" s="35" t="inlineStr">
        <is>
          <t>Tìm kiếm Web</t>
        </is>
      </c>
      <c r="D79" s="35" t="inlineStr">
        <is>
          <t>Trích dẫn nguồn web</t>
        </is>
      </c>
      <c r="E79" s="35" t="inlineStr">
        <is>
          <t>Kiểm tra response có tag nguồn</t>
        </is>
      </c>
      <c r="F79" s="35" t="inlineStr">
        <is>
          <t>Chip/tag website + URL</t>
        </is>
      </c>
      <c r="G79" s="35" t="inlineStr"/>
      <c r="H79" s="35" t="inlineStr"/>
      <c r="I79" s="34" t="inlineStr"/>
      <c r="J79" s="34" t="inlineStr"/>
      <c r="K79" s="36" t="inlineStr"/>
      <c r="L79" s="35" t="inlineStr"/>
      <c r="M79" s="35" t="inlineStr"/>
    </row>
    <row r="80" ht="40" customHeight="1">
      <c r="A80" s="34" t="n">
        <v>76</v>
      </c>
      <c r="B80" s="34" t="inlineStr">
        <is>
          <t>USER</t>
        </is>
      </c>
      <c r="C80" s="35" t="inlineStr">
        <is>
          <t>Tìm kiếm Web</t>
        </is>
      </c>
      <c r="D80" s="35" t="inlineStr">
        <is>
          <t>Search tiếng Việt</t>
        </is>
      </c>
      <c r="E80" s="35" t="inlineStr">
        <is>
          <t>Hỏi: "Thời tiết Hà Nội hôm nay"</t>
        </is>
      </c>
      <c r="F80" s="35" t="inlineStr">
        <is>
          <t>Tìm, trả lời TV, có nguồn</t>
        </is>
      </c>
      <c r="G80" s="35" t="inlineStr"/>
      <c r="H80" s="35" t="inlineStr"/>
      <c r="I80" s="34" t="inlineStr"/>
      <c r="J80" s="34" t="inlineStr"/>
      <c r="K80" s="36" t="inlineStr"/>
      <c r="L80" s="35" t="inlineStr"/>
      <c r="M80" s="35" t="inlineStr"/>
    </row>
    <row r="81" ht="40" customHeight="1">
      <c r="A81" s="37" t="n">
        <v>77</v>
      </c>
      <c r="B81" s="37" t="inlineStr">
        <is>
          <t>USER</t>
        </is>
      </c>
      <c r="C81" s="38" t="inlineStr">
        <is>
          <t>Giao diện &amp; Cá nhân hóa</t>
        </is>
      </c>
      <c r="D81" s="38" t="inlineStr">
        <is>
          <t>Dark/Light mode</t>
        </is>
      </c>
      <c r="E81" s="38" t="inlineStr">
        <is>
          <t>Settings → Theme → chuyển đổi</t>
        </is>
      </c>
      <c r="F81" s="38" t="inlineStr">
        <is>
          <t>Giao diện chuyển đổi mượt</t>
        </is>
      </c>
      <c r="G81" s="38" t="inlineStr"/>
      <c r="H81" s="38" t="inlineStr"/>
      <c r="I81" s="37" t="inlineStr"/>
      <c r="J81" s="37" t="inlineStr"/>
      <c r="K81" s="39" t="inlineStr"/>
      <c r="L81" s="38" t="inlineStr"/>
      <c r="M81" s="38" t="inlineStr"/>
    </row>
    <row r="82" ht="40" customHeight="1">
      <c r="A82" s="37" t="n">
        <v>78</v>
      </c>
      <c r="B82" s="37" t="inlineStr">
        <is>
          <t>USER</t>
        </is>
      </c>
      <c r="C82" s="38" t="inlineStr">
        <is>
          <t>Giao diện &amp; Cá nhân hóa</t>
        </is>
      </c>
      <c r="D82" s="38" t="inlineStr">
        <is>
          <t>Ngôn ngữ</t>
        </is>
      </c>
      <c r="E82" s="38" t="inlineStr">
        <is>
          <t>Settings → Language → Tiếng Việt</t>
        </is>
      </c>
      <c r="F82" s="38" t="inlineStr">
        <is>
          <t>UI chuyển tiếng Việt</t>
        </is>
      </c>
      <c r="G82" s="38" t="inlineStr"/>
      <c r="H82" s="38" t="inlineStr"/>
      <c r="I82" s="37" t="inlineStr"/>
      <c r="J82" s="37" t="inlineStr"/>
      <c r="K82" s="39" t="inlineStr"/>
      <c r="L82" s="38" t="inlineStr"/>
      <c r="M82" s="38" t="inlineStr"/>
    </row>
    <row r="83" ht="40" customHeight="1">
      <c r="A83" s="37" t="n">
        <v>79</v>
      </c>
      <c r="B83" s="37" t="inlineStr">
        <is>
          <t>USER</t>
        </is>
      </c>
      <c r="C83" s="38" t="inlineStr">
        <is>
          <t>Giao diện &amp; Cá nhân hóa</t>
        </is>
      </c>
      <c r="D83" s="38" t="inlineStr">
        <is>
          <t>System prompt</t>
        </is>
      </c>
      <c r="E83" s="38" t="inlineStr">
        <is>
          <t>Settings → đặt system prompt</t>
        </is>
      </c>
      <c r="F83" s="38" t="inlineStr">
        <is>
          <t>AI tuân theo khi chat</t>
        </is>
      </c>
      <c r="G83" s="38" t="inlineStr"/>
      <c r="H83" s="38" t="inlineStr"/>
      <c r="I83" s="37" t="inlineStr"/>
      <c r="J83" s="37" t="inlineStr"/>
      <c r="K83" s="39" t="inlineStr"/>
      <c r="L83" s="38" t="inlineStr"/>
      <c r="M83" s="38" t="inlineStr"/>
    </row>
    <row r="84" ht="40" customHeight="1">
      <c r="A84" s="37" t="n">
        <v>80</v>
      </c>
      <c r="B84" s="37" t="inlineStr">
        <is>
          <t>USER</t>
        </is>
      </c>
      <c r="C84" s="38" t="inlineStr">
        <is>
          <t>Giao diện &amp; Cá nhân hóa</t>
        </is>
      </c>
      <c r="D84" s="38" t="inlineStr">
        <is>
          <t>Responsive mobile</t>
        </is>
      </c>
      <c r="E84" s="38" t="inlineStr">
        <is>
          <t>Mở trên điện thoại</t>
        </is>
      </c>
      <c r="F84" s="38" t="inlineStr">
        <is>
          <t>Hiển thị tốt, không vỡ layout</t>
        </is>
      </c>
      <c r="G84" s="38" t="inlineStr"/>
      <c r="H84" s="38" t="inlineStr"/>
      <c r="I84" s="37" t="inlineStr"/>
      <c r="J84" s="37" t="inlineStr"/>
      <c r="K84" s="39" t="inlineStr"/>
      <c r="L84" s="38" t="inlineStr"/>
      <c r="M84" s="38" t="inlineStr"/>
    </row>
    <row r="85" ht="28" customHeight="1">
      <c r="A85" s="40" t="inlineStr">
        <is>
          <t>PHẦN B: TÍNH NĂNG QUẢN TRỊ (ADMIN)</t>
        </is>
      </c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2" t="n"/>
      <c r="L85" s="41" t="n"/>
      <c r="M85" s="41" t="n"/>
    </row>
    <row r="86" ht="40" customHeight="1">
      <c r="A86" s="43" t="n">
        <v>81</v>
      </c>
      <c r="B86" s="43" t="inlineStr">
        <is>
          <t>ADMIN</t>
        </is>
      </c>
      <c r="C86" s="44" t="inlineStr">
        <is>
          <t>Quản lý người dùng</t>
        </is>
      </c>
      <c r="D86" s="44" t="inlineStr">
        <is>
          <t>Xem danh sách user</t>
        </is>
      </c>
      <c r="E86" s="44" t="inlineStr">
        <is>
          <t>Admin Panel → Users</t>
        </is>
      </c>
      <c r="F86" s="44" t="inlineStr">
        <is>
          <t>Hiển thị đầy đủ, role, trạng thái</t>
        </is>
      </c>
      <c r="G86" s="44" t="inlineStr"/>
      <c r="H86" s="44" t="inlineStr"/>
      <c r="I86" s="43" t="inlineStr"/>
      <c r="J86" s="43" t="inlineStr"/>
      <c r="K86" s="45" t="inlineStr"/>
      <c r="L86" s="44" t="inlineStr"/>
      <c r="M86" s="44" t="inlineStr"/>
    </row>
    <row r="87" ht="40" customHeight="1">
      <c r="A87" s="43" t="n">
        <v>82</v>
      </c>
      <c r="B87" s="43" t="inlineStr">
        <is>
          <t>ADMIN</t>
        </is>
      </c>
      <c r="C87" s="44" t="inlineStr">
        <is>
          <t>Quản lý người dùng</t>
        </is>
      </c>
      <c r="D87" s="44" t="inlineStr">
        <is>
          <t>Tạo user mới</t>
        </is>
      </c>
      <c r="E87" s="44" t="inlineStr">
        <is>
          <t>Tạo account / đăng ký</t>
        </is>
      </c>
      <c r="F87" s="44" t="inlineStr">
        <is>
          <t>Account tạo, trạng thái Pending</t>
        </is>
      </c>
      <c r="G87" s="44" t="inlineStr"/>
      <c r="H87" s="44" t="inlineStr"/>
      <c r="I87" s="43" t="inlineStr"/>
      <c r="J87" s="43" t="inlineStr"/>
      <c r="K87" s="45" t="inlineStr"/>
      <c r="L87" s="44" t="inlineStr"/>
      <c r="M87" s="44" t="inlineStr"/>
    </row>
    <row r="88" ht="40" customHeight="1">
      <c r="A88" s="43" t="n">
        <v>83</v>
      </c>
      <c r="B88" s="43" t="inlineStr">
        <is>
          <t>ADMIN</t>
        </is>
      </c>
      <c r="C88" s="44" t="inlineStr">
        <is>
          <t>Quản lý người dùng</t>
        </is>
      </c>
      <c r="D88" s="44" t="inlineStr">
        <is>
          <t>Duyệt user</t>
        </is>
      </c>
      <c r="E88" s="44" t="inlineStr">
        <is>
          <t>Approve user pending</t>
        </is>
      </c>
      <c r="F88" s="44" t="inlineStr">
        <is>
          <t>User Active, login được</t>
        </is>
      </c>
      <c r="G88" s="44" t="inlineStr"/>
      <c r="H88" s="44" t="inlineStr"/>
      <c r="I88" s="43" t="inlineStr"/>
      <c r="J88" s="43" t="inlineStr"/>
      <c r="K88" s="45" t="inlineStr"/>
      <c r="L88" s="44" t="inlineStr"/>
      <c r="M88" s="44" t="inlineStr"/>
    </row>
    <row r="89" ht="40" customHeight="1">
      <c r="A89" s="43" t="n">
        <v>84</v>
      </c>
      <c r="B89" s="43" t="inlineStr">
        <is>
          <t>ADMIN</t>
        </is>
      </c>
      <c r="C89" s="44" t="inlineStr">
        <is>
          <t>Quản lý người dùng</t>
        </is>
      </c>
      <c r="D89" s="44" t="inlineStr">
        <is>
          <t>Đổi role</t>
        </is>
      </c>
      <c r="E89" s="44" t="inlineStr">
        <is>
          <t>User → Admin hoặc ngược lại</t>
        </is>
      </c>
      <c r="F89" s="44" t="inlineStr">
        <is>
          <t>Role + quyền thay đổi</t>
        </is>
      </c>
      <c r="G89" s="44" t="inlineStr"/>
      <c r="H89" s="44" t="inlineStr"/>
      <c r="I89" s="43" t="inlineStr"/>
      <c r="J89" s="43" t="inlineStr"/>
      <c r="K89" s="45" t="inlineStr"/>
      <c r="L89" s="44" t="inlineStr"/>
      <c r="M89" s="44" t="inlineStr"/>
    </row>
    <row r="90" ht="40" customHeight="1">
      <c r="A90" s="43" t="n">
        <v>85</v>
      </c>
      <c r="B90" s="43" t="inlineStr">
        <is>
          <t>ADMIN</t>
        </is>
      </c>
      <c r="C90" s="44" t="inlineStr">
        <is>
          <t>Quản lý người dùng</t>
        </is>
      </c>
      <c r="D90" s="44" t="inlineStr">
        <is>
          <t>Xóa user</t>
        </is>
      </c>
      <c r="E90" s="44" t="inlineStr">
        <is>
          <t>Xóa 1 user account</t>
        </is>
      </c>
      <c r="F90" s="44" t="inlineStr">
        <is>
          <t>User bị xóa, không login</t>
        </is>
      </c>
      <c r="G90" s="44" t="inlineStr"/>
      <c r="H90" s="44" t="inlineStr"/>
      <c r="I90" s="43" t="inlineStr"/>
      <c r="J90" s="43" t="inlineStr"/>
      <c r="K90" s="45" t="inlineStr"/>
      <c r="L90" s="44" t="inlineStr"/>
      <c r="M90" s="44" t="inlineStr"/>
    </row>
    <row r="91" ht="40" customHeight="1">
      <c r="A91" s="43" t="n">
        <v>86</v>
      </c>
      <c r="B91" s="43" t="inlineStr">
        <is>
          <t>ADMIN</t>
        </is>
      </c>
      <c r="C91" s="44" t="inlineStr">
        <is>
          <t>Quản lý người dùng</t>
        </is>
      </c>
      <c r="D91" s="44" t="inlineStr">
        <is>
          <t>Reset password</t>
        </is>
      </c>
      <c r="E91" s="44" t="inlineStr">
        <is>
          <t>Reset password cho user</t>
        </is>
      </c>
      <c r="F91" s="44" t="inlineStr">
        <is>
          <t>Password mới hoạt động</t>
        </is>
      </c>
      <c r="G91" s="44" t="inlineStr"/>
      <c r="H91" s="44" t="inlineStr"/>
      <c r="I91" s="43" t="inlineStr"/>
      <c r="J91" s="43" t="inlineStr"/>
      <c r="K91" s="45" t="inlineStr"/>
      <c r="L91" s="44" t="inlineStr"/>
      <c r="M91" s="44" t="inlineStr"/>
    </row>
    <row r="92" ht="40" customHeight="1">
      <c r="A92" s="46" t="n">
        <v>87</v>
      </c>
      <c r="B92" s="46" t="inlineStr">
        <is>
          <t>ADMIN</t>
        </is>
      </c>
      <c r="C92" s="47" t="inlineStr">
        <is>
          <t>Quản lý Model</t>
        </is>
      </c>
      <c r="D92" s="47" t="inlineStr">
        <is>
          <t>Bật/tắt model</t>
        </is>
      </c>
      <c r="E92" s="47" t="inlineStr">
        <is>
          <t>Admin → Models → Disable</t>
        </is>
      </c>
      <c r="F92" s="47" t="inlineStr">
        <is>
          <t>User không thấy model disabled</t>
        </is>
      </c>
      <c r="G92" s="47" t="inlineStr"/>
      <c r="H92" s="47" t="inlineStr"/>
      <c r="I92" s="46" t="inlineStr"/>
      <c r="J92" s="46" t="inlineStr"/>
      <c r="K92" s="48" t="inlineStr"/>
      <c r="L92" s="47" t="inlineStr"/>
      <c r="M92" s="47" t="inlineStr"/>
    </row>
    <row r="93" ht="40" customHeight="1">
      <c r="A93" s="46" t="n">
        <v>88</v>
      </c>
      <c r="B93" s="46" t="inlineStr">
        <is>
          <t>ADMIN</t>
        </is>
      </c>
      <c r="C93" s="47" t="inlineStr">
        <is>
          <t>Quản lý Model</t>
        </is>
      </c>
      <c r="D93" s="47" t="inlineStr">
        <is>
          <t>Cấu hình params</t>
        </is>
      </c>
      <c r="E93" s="47" t="inlineStr">
        <is>
          <t>Set temperature, max_tokens</t>
        </is>
      </c>
      <c r="F93" s="47" t="inlineStr">
        <is>
          <t>Params áp dụng khi chat</t>
        </is>
      </c>
      <c r="G93" s="47" t="inlineStr"/>
      <c r="H93" s="47" t="inlineStr"/>
      <c r="I93" s="46" t="inlineStr"/>
      <c r="J93" s="46" t="inlineStr"/>
      <c r="K93" s="48" t="inlineStr"/>
      <c r="L93" s="47" t="inlineStr"/>
      <c r="M93" s="47" t="inlineStr"/>
    </row>
    <row r="94" ht="40" customHeight="1">
      <c r="A94" s="46" t="n">
        <v>89</v>
      </c>
      <c r="B94" s="46" t="inlineStr">
        <is>
          <t>ADMIN</t>
        </is>
      </c>
      <c r="C94" s="47" t="inlineStr">
        <is>
          <t>Quản lý Model</t>
        </is>
      </c>
      <c r="D94" s="47" t="inlineStr">
        <is>
          <t>Gán Knowledge</t>
        </is>
      </c>
      <c r="E94" s="47" t="inlineStr">
        <is>
          <t>Gán Knowledge mặc định cho model</t>
        </is>
      </c>
      <c r="F94" s="47" t="inlineStr">
        <is>
          <t>Model tự động dùng Knowledge</t>
        </is>
      </c>
      <c r="G94" s="47" t="inlineStr"/>
      <c r="H94" s="47" t="inlineStr"/>
      <c r="I94" s="46" t="inlineStr"/>
      <c r="J94" s="46" t="inlineStr"/>
      <c r="K94" s="48" t="inlineStr"/>
      <c r="L94" s="47" t="inlineStr"/>
      <c r="M94" s="47" t="inlineStr"/>
    </row>
    <row r="95" ht="40" customHeight="1">
      <c r="A95" s="46" t="n">
        <v>90</v>
      </c>
      <c r="B95" s="46" t="inlineStr">
        <is>
          <t>ADMIN</t>
        </is>
      </c>
      <c r="C95" s="47" t="inlineStr">
        <is>
          <t>Quản lý Model</t>
        </is>
      </c>
      <c r="D95" s="47" t="inlineStr">
        <is>
          <t>Access control</t>
        </is>
      </c>
      <c r="E95" s="47" t="inlineStr">
        <is>
          <t>Giới hạn model cho user cụ thể</t>
        </is>
      </c>
      <c r="F95" s="47" t="inlineStr">
        <is>
          <t>Chỉ user được phép mới thấy</t>
        </is>
      </c>
      <c r="G95" s="47" t="inlineStr"/>
      <c r="H95" s="47" t="inlineStr"/>
      <c r="I95" s="46" t="inlineStr"/>
      <c r="J95" s="46" t="inlineStr"/>
      <c r="K95" s="48" t="inlineStr"/>
      <c r="L95" s="47" t="inlineStr"/>
      <c r="M95" s="47" t="inlineStr"/>
    </row>
    <row r="96" ht="40" customHeight="1">
      <c r="A96" s="49" t="n">
        <v>91</v>
      </c>
      <c r="B96" s="49" t="inlineStr">
        <is>
          <t>ADMIN</t>
        </is>
      </c>
      <c r="C96" s="50" t="inlineStr">
        <is>
          <t>Dashboard &amp; Giám sát</t>
        </is>
      </c>
      <c r="D96" s="50" t="inlineStr">
        <is>
          <t>Dashboard tổng quan</t>
        </is>
      </c>
      <c r="E96" s="50" t="inlineStr">
        <is>
          <t>Truy cập Dashboard middleware</t>
        </is>
      </c>
      <c r="F96" s="50" t="inlineStr">
        <is>
          <t>Hiển thị tổng chi phí, request, top users</t>
        </is>
      </c>
      <c r="G96" s="50" t="inlineStr"/>
      <c r="H96" s="50" t="inlineStr"/>
      <c r="I96" s="49" t="inlineStr"/>
      <c r="J96" s="49" t="inlineStr"/>
      <c r="K96" s="51" t="inlineStr"/>
      <c r="L96" s="50" t="inlineStr"/>
      <c r="M96" s="50" t="inlineStr"/>
    </row>
    <row r="97" ht="40" customHeight="1">
      <c r="A97" s="49" t="n">
        <v>92</v>
      </c>
      <c r="B97" s="49" t="inlineStr">
        <is>
          <t>ADMIN</t>
        </is>
      </c>
      <c r="C97" s="50" t="inlineStr">
        <is>
          <t>Dashboard &amp; Giám sát</t>
        </is>
      </c>
      <c r="D97" s="50" t="inlineStr">
        <is>
          <t>Log requests</t>
        </is>
      </c>
      <c r="E97" s="50" t="inlineStr">
        <is>
          <t>Xem log chi tiết API request</t>
        </is>
      </c>
      <c r="F97" s="50" t="inlineStr">
        <is>
          <t>User, model, tokens, cost, timestamp</t>
        </is>
      </c>
      <c r="G97" s="50" t="inlineStr"/>
      <c r="H97" s="50" t="inlineStr"/>
      <c r="I97" s="49" t="inlineStr"/>
      <c r="J97" s="49" t="inlineStr"/>
      <c r="K97" s="51" t="inlineStr"/>
      <c r="L97" s="50" t="inlineStr"/>
      <c r="M97" s="50" t="inlineStr"/>
    </row>
    <row r="98" ht="40" customHeight="1">
      <c r="A98" s="49" t="n">
        <v>93</v>
      </c>
      <c r="B98" s="49" t="inlineStr">
        <is>
          <t>ADMIN</t>
        </is>
      </c>
      <c r="C98" s="50" t="inlineStr">
        <is>
          <t>Dashboard &amp; Giám sát</t>
        </is>
      </c>
      <c r="D98" s="50" t="inlineStr">
        <is>
          <t>Báo cáo theo user</t>
        </is>
      </c>
      <c r="E98" s="50" t="inlineStr">
        <is>
          <t>Lọc chi phí theo user</t>
        </is>
      </c>
      <c r="F98" s="50" t="inlineStr">
        <is>
          <t>Dữ liệu chính xác</t>
        </is>
      </c>
      <c r="G98" s="50" t="inlineStr"/>
      <c r="H98" s="50" t="inlineStr"/>
      <c r="I98" s="49" t="inlineStr"/>
      <c r="J98" s="49" t="inlineStr"/>
      <c r="K98" s="51" t="inlineStr"/>
      <c r="L98" s="50" t="inlineStr"/>
      <c r="M98" s="50" t="inlineStr"/>
    </row>
    <row r="99" ht="40" customHeight="1">
      <c r="A99" s="49" t="n">
        <v>94</v>
      </c>
      <c r="B99" s="49" t="inlineStr">
        <is>
          <t>ADMIN</t>
        </is>
      </c>
      <c r="C99" s="50" t="inlineStr">
        <is>
          <t>Dashboard &amp; Giám sát</t>
        </is>
      </c>
      <c r="D99" s="50" t="inlineStr">
        <is>
          <t>Báo cáo theo model</t>
        </is>
      </c>
      <c r="E99" s="50" t="inlineStr">
        <is>
          <t>Lọc chi phí theo model</t>
        </is>
      </c>
      <c r="F99" s="50" t="inlineStr">
        <is>
          <t>Dữ liệu chính xác</t>
        </is>
      </c>
      <c r="G99" s="50" t="inlineStr"/>
      <c r="H99" s="50" t="inlineStr"/>
      <c r="I99" s="49" t="inlineStr"/>
      <c r="J99" s="49" t="inlineStr"/>
      <c r="K99" s="51" t="inlineStr"/>
      <c r="L99" s="50" t="inlineStr"/>
      <c r="M99" s="50" t="inlineStr"/>
    </row>
    <row r="100" ht="40" customHeight="1">
      <c r="A100" s="49" t="n">
        <v>95</v>
      </c>
      <c r="B100" s="49" t="inlineStr">
        <is>
          <t>ADMIN</t>
        </is>
      </c>
      <c r="C100" s="50" t="inlineStr">
        <is>
          <t>Dashboard &amp; Giám sát</t>
        </is>
      </c>
      <c r="D100" s="50" t="inlineStr">
        <is>
          <t>Báo cáo theo thời gian</t>
        </is>
      </c>
      <c r="E100" s="50" t="inlineStr">
        <is>
          <t>Lọc theo khoảng thời gian</t>
        </is>
      </c>
      <c r="F100" s="50" t="inlineStr">
        <is>
          <t>Dữ liệu đúng khoảng chọn</t>
        </is>
      </c>
      <c r="G100" s="50" t="inlineStr"/>
      <c r="H100" s="50" t="inlineStr"/>
      <c r="I100" s="49" t="inlineStr"/>
      <c r="J100" s="49" t="inlineStr"/>
      <c r="K100" s="51" t="inlineStr"/>
      <c r="L100" s="50" t="inlineStr"/>
      <c r="M100" s="50" t="inlineStr"/>
    </row>
    <row r="101" ht="40" customHeight="1">
      <c r="A101" s="52" t="n">
        <v>96</v>
      </c>
      <c r="B101" s="52" t="inlineStr">
        <is>
          <t>ADMIN</t>
        </is>
      </c>
      <c r="C101" s="53" t="inlineStr">
        <is>
          <t>Quota &amp; Chi phí</t>
        </is>
      </c>
      <c r="D101" s="53" t="inlineStr">
        <is>
          <t>Set quota user</t>
        </is>
      </c>
      <c r="E101" s="53" t="inlineStr">
        <is>
          <t>Dashboard → set limit_cost_usd</t>
        </is>
      </c>
      <c r="F101" s="53" t="inlineStr">
        <is>
          <t>Quota lưu thành công</t>
        </is>
      </c>
      <c r="G101" s="53" t="inlineStr"/>
      <c r="H101" s="53" t="inlineStr"/>
      <c r="I101" s="52" t="inlineStr"/>
      <c r="J101" s="52" t="inlineStr"/>
      <c r="K101" s="54" t="inlineStr"/>
      <c r="L101" s="53" t="inlineStr"/>
      <c r="M101" s="53" t="inlineStr"/>
    </row>
    <row r="102" ht="40" customHeight="1">
      <c r="A102" s="52" t="n">
        <v>97</v>
      </c>
      <c r="B102" s="52" t="inlineStr">
        <is>
          <t>ADMIN</t>
        </is>
      </c>
      <c r="C102" s="53" t="inlineStr">
        <is>
          <t>Quota &amp; Chi phí</t>
        </is>
      </c>
      <c r="D102" s="53" t="inlineStr">
        <is>
          <t>Cảnh báo quota</t>
        </is>
      </c>
      <c r="E102" s="53" t="inlineStr">
        <is>
          <t>User chat gần hết quota</t>
        </is>
      </c>
      <c r="F102" s="53" t="inlineStr">
        <is>
          <t>Hiển thị cảnh báo</t>
        </is>
      </c>
      <c r="G102" s="53" t="inlineStr"/>
      <c r="H102" s="53" t="inlineStr"/>
      <c r="I102" s="52" t="inlineStr"/>
      <c r="J102" s="52" t="inlineStr"/>
      <c r="K102" s="54" t="inlineStr"/>
      <c r="L102" s="53" t="inlineStr"/>
      <c r="M102" s="53" t="inlineStr"/>
    </row>
    <row r="103" ht="40" customHeight="1">
      <c r="A103" s="52" t="n">
        <v>98</v>
      </c>
      <c r="B103" s="52" t="inlineStr">
        <is>
          <t>ADMIN</t>
        </is>
      </c>
      <c r="C103" s="53" t="inlineStr">
        <is>
          <t>Quota &amp; Chi phí</t>
        </is>
      </c>
      <c r="D103" s="53" t="inlineStr">
        <is>
          <t>Chặn khi hết</t>
        </is>
      </c>
      <c r="E103" s="53" t="inlineStr">
        <is>
          <t>User vượt quota → chat tiếp</t>
        </is>
      </c>
      <c r="F103" s="53" t="inlineStr">
        <is>
          <t>Từ chối, báo HTTP 429</t>
        </is>
      </c>
      <c r="G103" s="53" t="inlineStr"/>
      <c r="H103" s="53" t="inlineStr"/>
      <c r="I103" s="52" t="inlineStr"/>
      <c r="J103" s="52" t="inlineStr"/>
      <c r="K103" s="54" t="inlineStr"/>
      <c r="L103" s="53" t="inlineStr"/>
      <c r="M103" s="53" t="inlineStr"/>
    </row>
    <row r="104" ht="40" customHeight="1">
      <c r="A104" s="52" t="n">
        <v>99</v>
      </c>
      <c r="B104" s="52" t="inlineStr">
        <is>
          <t>ADMIN</t>
        </is>
      </c>
      <c r="C104" s="53" t="inlineStr">
        <is>
          <t>Quota &amp; Chi phí</t>
        </is>
      </c>
      <c r="D104" s="53" t="inlineStr">
        <is>
          <t>Sub-key API</t>
        </is>
      </c>
      <c r="E104" s="53" t="inlineStr">
        <is>
          <t>Kiểm tra user có sub-key riêng</t>
        </is>
      </c>
      <c r="F104" s="53" t="inlineStr">
        <is>
          <t>Mỗi user có key riêng</t>
        </is>
      </c>
      <c r="G104" s="53" t="inlineStr"/>
      <c r="H104" s="53" t="inlineStr"/>
      <c r="I104" s="52" t="inlineStr"/>
      <c r="J104" s="52" t="inlineStr"/>
      <c r="K104" s="54" t="inlineStr"/>
      <c r="L104" s="53" t="inlineStr"/>
      <c r="M104" s="53" t="inlineStr"/>
    </row>
    <row r="105" ht="40" customHeight="1">
      <c r="A105" s="55" t="n">
        <v>100</v>
      </c>
      <c r="B105" s="55" t="inlineStr">
        <is>
          <t>ADMIN</t>
        </is>
      </c>
      <c r="C105" s="56" t="inlineStr">
        <is>
          <t>Cấu hình hệ thống</t>
        </is>
      </c>
      <c r="D105" s="56" t="inlineStr">
        <is>
          <t>WebUI settings</t>
        </is>
      </c>
      <c r="E105" s="56" t="inlineStr">
        <is>
          <t>Admin → Settings → General</t>
        </is>
      </c>
      <c r="F105" s="56" t="inlineStr">
        <is>
          <t>Cấu hình lưu và áp dụng</t>
        </is>
      </c>
      <c r="G105" s="56" t="inlineStr"/>
      <c r="H105" s="56" t="inlineStr"/>
      <c r="I105" s="55" t="inlineStr"/>
      <c r="J105" s="55" t="inlineStr"/>
      <c r="K105" s="57" t="inlineStr"/>
      <c r="L105" s="56" t="inlineStr"/>
      <c r="M105" s="56" t="inlineStr"/>
    </row>
    <row r="106" ht="40" customHeight="1">
      <c r="A106" s="55" t="n">
        <v>101</v>
      </c>
      <c r="B106" s="55" t="inlineStr">
        <is>
          <t>ADMIN</t>
        </is>
      </c>
      <c r="C106" s="56" t="inlineStr">
        <is>
          <t>Cấu hình hệ thống</t>
        </is>
      </c>
      <c r="D106" s="56" t="inlineStr">
        <is>
          <t>Connections</t>
        </is>
      </c>
      <c r="E106" s="56" t="inlineStr">
        <is>
          <t>Admin → Settings → Connections</t>
        </is>
      </c>
      <c r="F106" s="56" t="inlineStr">
        <is>
          <t>Kết nối 4 providers (OpenAI, Gemini, xAI, Anthropic), status OK</t>
        </is>
      </c>
      <c r="G106" s="56" t="inlineStr"/>
      <c r="H106" s="56" t="inlineStr"/>
      <c r="I106" s="55" t="inlineStr"/>
      <c r="J106" s="55" t="inlineStr"/>
      <c r="K106" s="57" t="inlineStr"/>
      <c r="L106" s="56" t="inlineStr"/>
      <c r="M106" s="56" t="inlineStr"/>
    </row>
    <row r="107" ht="40" customHeight="1">
      <c r="A107" s="55" t="n">
        <v>102</v>
      </c>
      <c r="B107" s="55" t="inlineStr">
        <is>
          <t>ADMIN</t>
        </is>
      </c>
      <c r="C107" s="56" t="inlineStr">
        <is>
          <t>Cấu hình hệ thống</t>
        </is>
      </c>
      <c r="D107" s="56" t="inlineStr">
        <is>
          <t>RAG config</t>
        </is>
      </c>
      <c r="E107" s="56" t="inlineStr">
        <is>
          <t>Điều chỉnh chunk size, file limit</t>
        </is>
      </c>
      <c r="F107" s="56" t="inlineStr">
        <is>
          <t>Thay đổi được áp dụng</t>
        </is>
      </c>
      <c r="G107" s="56" t="inlineStr"/>
      <c r="H107" s="56" t="inlineStr"/>
      <c r="I107" s="55" t="inlineStr"/>
      <c r="J107" s="55" t="inlineStr"/>
      <c r="K107" s="57" t="inlineStr"/>
      <c r="L107" s="56" t="inlineStr"/>
      <c r="M107" s="56" t="inlineStr"/>
    </row>
    <row r="108" ht="40" customHeight="1">
      <c r="A108" s="55" t="n">
        <v>103</v>
      </c>
      <c r="B108" s="55" t="inlineStr">
        <is>
          <t>ADMIN</t>
        </is>
      </c>
      <c r="C108" s="56" t="inlineStr">
        <is>
          <t>Cấu hình hệ thống</t>
        </is>
      </c>
      <c r="D108" s="56" t="inlineStr">
        <is>
          <t>Signup control</t>
        </is>
      </c>
      <c r="E108" s="56" t="inlineStr">
        <is>
          <t>Bật/tắt đăng ký mới</t>
        </is>
      </c>
      <c r="F108" s="56" t="inlineStr">
        <is>
          <t>Đúng trạng thái bật/tắt</t>
        </is>
      </c>
      <c r="G108" s="56" t="inlineStr"/>
      <c r="H108" s="56" t="inlineStr"/>
      <c r="I108" s="55" t="inlineStr"/>
      <c r="J108" s="55" t="inlineStr"/>
      <c r="K108" s="57" t="inlineStr"/>
      <c r="L108" s="56" t="inlineStr"/>
      <c r="M108" s="56" t="inlineStr"/>
    </row>
    <row r="109">
      <c r="K109" s="58" t="n"/>
    </row>
    <row r="110">
      <c r="K110" s="58" t="n"/>
    </row>
    <row r="111">
      <c r="K111" s="58" t="n"/>
    </row>
    <row r="112">
      <c r="K112" s="58" t="n"/>
    </row>
    <row r="113">
      <c r="K113" s="58" t="n"/>
    </row>
    <row r="114">
      <c r="K114" s="58" t="n"/>
    </row>
    <row r="115">
      <c r="K115" s="58" t="n"/>
    </row>
    <row r="116">
      <c r="K116" s="58" t="n"/>
    </row>
    <row r="117">
      <c r="K117" s="58" t="n"/>
    </row>
    <row r="118">
      <c r="K118" s="58" t="n"/>
    </row>
    <row r="119">
      <c r="K119" s="58" t="n"/>
    </row>
    <row r="120">
      <c r="K120" s="58" t="n"/>
    </row>
    <row r="121">
      <c r="K121" s="58" t="n"/>
    </row>
    <row r="122">
      <c r="K122" s="58" t="n"/>
    </row>
    <row r="123">
      <c r="K123" s="58" t="n"/>
    </row>
    <row r="124">
      <c r="K124" s="58" t="n"/>
    </row>
    <row r="125">
      <c r="K125" s="58" t="n"/>
    </row>
    <row r="126">
      <c r="K126" s="58" t="n"/>
    </row>
    <row r="127">
      <c r="K127" s="58" t="n"/>
    </row>
    <row r="128">
      <c r="K128" s="58" t="n"/>
    </row>
    <row r="129">
      <c r="K129" s="58" t="n"/>
    </row>
    <row r="130">
      <c r="K130" s="58" t="n"/>
    </row>
    <row r="131">
      <c r="K131" s="58" t="n"/>
    </row>
    <row r="132">
      <c r="K132" s="58" t="n"/>
    </row>
    <row r="133">
      <c r="K133" s="58" t="n"/>
    </row>
    <row r="134">
      <c r="K134" s="58" t="n"/>
    </row>
    <row r="135">
      <c r="K135" s="58" t="n"/>
    </row>
    <row r="136">
      <c r="K136" s="58" t="n"/>
    </row>
    <row r="137">
      <c r="K137" s="58" t="n"/>
    </row>
    <row r="138">
      <c r="K138" s="58" t="n"/>
    </row>
    <row r="139">
      <c r="K139" s="58" t="n"/>
    </row>
    <row r="140">
      <c r="K140" s="58" t="n"/>
    </row>
    <row r="141">
      <c r="K141" s="58" t="n"/>
    </row>
    <row r="142">
      <c r="K142" s="58" t="n"/>
    </row>
    <row r="143">
      <c r="K143" s="58" t="n"/>
    </row>
    <row r="144">
      <c r="K144" s="58" t="n"/>
    </row>
    <row r="145">
      <c r="K145" s="58" t="n"/>
    </row>
    <row r="146">
      <c r="K146" s="58" t="n"/>
    </row>
    <row r="147">
      <c r="K147" s="58" t="n"/>
    </row>
    <row r="148">
      <c r="K148" s="58" t="n"/>
    </row>
    <row r="149">
      <c r="K149" s="58" t="n"/>
    </row>
    <row r="150">
      <c r="K150" s="58" t="n"/>
    </row>
    <row r="151">
      <c r="K151" s="58" t="n"/>
    </row>
    <row r="152">
      <c r="K152" s="58" t="n"/>
    </row>
    <row r="153">
      <c r="K153" s="58" t="n"/>
    </row>
    <row r="154">
      <c r="K154" s="58" t="n"/>
    </row>
    <row r="155">
      <c r="K155" s="58" t="n"/>
    </row>
    <row r="156">
      <c r="K156" s="58" t="n"/>
    </row>
    <row r="157">
      <c r="K157" s="58" t="n"/>
    </row>
    <row r="158">
      <c r="K158" s="58" t="n"/>
    </row>
  </sheetData>
  <autoFilter ref="A3:M108"/>
  <mergeCells count="4">
    <mergeCell ref="A4:M4"/>
    <mergeCell ref="A85:M85"/>
    <mergeCell ref="A2:M2"/>
    <mergeCell ref="A1:M1"/>
  </mergeCells>
  <conditionalFormatting sqref="I4:I15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"SKIP"</formula>
    </cfRule>
  </conditionalFormatting>
  <dataValidations count="2">
    <dataValidation sqref="I4:I158" showDropDown="0" showInputMessage="0" showErrorMessage="0" allowBlank="1" errorTitle="Giá trị không hợp lệ" error="Chọn PASS, FAIL, PARTIAL hoặc SKIP" promptTitle="Kết quả test" prompt="Chọn kết quả" type="list">
      <formula1>"PASS,FAIL,PARTIAL,SKIP"</formula1>
    </dataValidation>
    <dataValidation sqref="J4:J158" showDropDown="0" showInputMessage="0" showErrorMessage="0" allowBlank="1" prompt="Chọn 1-5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N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0" customWidth="1" min="4" max="4"/>
    <col width="18" customWidth="1" min="5" max="5"/>
    <col width="42" customWidth="1" min="6" max="6"/>
    <col width="18" customWidth="1" min="7" max="7"/>
    <col width="30" customWidth="1" min="8" max="8"/>
    <col width="35" customWidth="1" min="9" max="9"/>
    <col width="16" customWidth="1" min="10" max="10"/>
    <col width="11" customWidth="1" min="11" max="11"/>
    <col width="16" customWidth="1" min="12" max="12"/>
    <col width="30" customWidth="1" min="13" max="13"/>
    <col width="30" customWidth="1" min="14" max="14"/>
  </cols>
  <sheetData>
    <row r="1" ht="36" customHeight="1">
      <c r="A1" s="1" t="inlineStr">
        <is>
          <t>FORM KIỂM THỬ THEO NGHIỆP VỤ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8" t="inlineStr">
        <is>
          <t>Mỗi anh/chị tự điền kịch bản test theo nghiệp vụ riêng. Dưới đây là 5 ví dụ mẫu.</t>
        </is>
      </c>
    </row>
    <row r="3" ht="32" customHeight="1">
      <c r="A3" s="9" t="inlineStr">
        <is>
          <t>STT</t>
        </is>
      </c>
      <c r="B3" s="9" t="inlineStr">
        <is>
          <t>Người test</t>
        </is>
      </c>
      <c r="C3" s="9" t="inlineStr">
        <is>
          <t>Phòng ban /
Nghiệp vụ</t>
        </is>
      </c>
      <c r="D3" s="9" t="inlineStr">
        <is>
          <t>Kịch bản test</t>
        </is>
      </c>
      <c r="E3" s="9" t="inlineStr">
        <is>
          <t>Model
sử dụng</t>
        </is>
      </c>
      <c r="F3" s="9" t="inlineStr">
        <is>
          <t>Câu hỏi / Prompt</t>
        </is>
      </c>
      <c r="G3" s="9" t="inlineStr">
        <is>
          <t>File đính kèm
(nếu có)</t>
        </is>
      </c>
      <c r="H3" s="9" t="inlineStr">
        <is>
          <t>Kỳ vọng</t>
        </is>
      </c>
      <c r="I3" s="9" t="inlineStr">
        <is>
          <t>Kết quả thực tế</t>
        </is>
      </c>
      <c r="J3" s="9" t="inlineStr">
        <is>
          <t>Ảnh chụp
màn hình</t>
        </is>
      </c>
      <c r="K3" s="9" t="inlineStr">
        <is>
          <t>Kết quả</t>
        </is>
      </c>
      <c r="L3" s="9" t="inlineStr">
        <is>
          <t>Thời gian test
(ngày/tháng/năm)</t>
        </is>
      </c>
      <c r="M3" s="9" t="inlineStr">
        <is>
          <t>Nhận xét,
đánh giá</t>
        </is>
      </c>
      <c r="N3" s="9" t="inlineStr">
        <is>
          <t>Feedback /
Đề xuất</t>
        </is>
      </c>
    </row>
    <row r="4" ht="45" customHeight="1">
      <c r="A4" s="59" t="n">
        <v>1</v>
      </c>
      <c r="B4" s="60" t="inlineStr">
        <is>
          <t>Nguyễn Văn A</t>
        </is>
      </c>
      <c r="C4" s="60" t="inlineStr">
        <is>
          <t>Kế toán</t>
        </is>
      </c>
      <c r="D4" s="60" t="inlineStr">
        <is>
          <t>Phân tích báo cáo tài chính</t>
        </is>
      </c>
      <c r="E4" s="60" t="inlineStr">
        <is>
          <t>gpt-5.4</t>
        </is>
      </c>
      <c r="F4" s="60" t="inlineStr">
        <is>
          <t>Upload file báo cáo Q1.xlsx, hỏi "Tóm tắt doanh thu và chi phí theo tháng"</t>
        </is>
      </c>
      <c r="G4" s="60" t="inlineStr">
        <is>
          <t>bao_cao_Q1.xlsx</t>
        </is>
      </c>
      <c r="H4" s="60" t="inlineStr">
        <is>
          <t>AI tổng hợp đúng số liệu, phân tích theo tháng</t>
        </is>
      </c>
      <c r="I4" s="60" t="inlineStr"/>
      <c r="J4" s="60" t="inlineStr"/>
      <c r="K4" s="59" t="inlineStr">
        <is>
          <t>PASS</t>
        </is>
      </c>
      <c r="L4" s="60" t="inlineStr"/>
      <c r="M4" s="60" t="inlineStr"/>
      <c r="N4" s="60" t="inlineStr"/>
    </row>
    <row r="5" ht="45" customHeight="1">
      <c r="A5" s="61" t="n">
        <v>2</v>
      </c>
      <c r="B5" s="62" t="inlineStr">
        <is>
          <t>Trần Thị B</t>
        </is>
      </c>
      <c r="C5" s="62" t="inlineStr">
        <is>
          <t>Marketing</t>
        </is>
      </c>
      <c r="D5" s="62" t="inlineStr">
        <is>
          <t>Viết nội dung quảng cáo</t>
        </is>
      </c>
      <c r="E5" s="62" t="inlineStr">
        <is>
          <t>gemini-3.1-pro-preview</t>
        </is>
      </c>
      <c r="F5" s="62" t="inlineStr">
        <is>
          <t>"Viết 3 mẫu quảng cáo Facebook cho đèn LED thông minh"</t>
        </is>
      </c>
      <c r="G5" s="62" t="inlineStr"/>
      <c r="H5" s="62" t="inlineStr">
        <is>
          <t>Nội dung sáng tạo, đúng tone, có CTA</t>
        </is>
      </c>
      <c r="I5" s="62" t="inlineStr"/>
      <c r="J5" s="62" t="inlineStr"/>
      <c r="K5" s="61" t="inlineStr"/>
      <c r="L5" s="62" t="inlineStr"/>
      <c r="M5" s="62" t="inlineStr"/>
      <c r="N5" s="62" t="inlineStr"/>
    </row>
    <row r="6" ht="45" customHeight="1">
      <c r="A6" s="59" t="n">
        <v>3</v>
      </c>
      <c r="B6" s="60" t="inlineStr">
        <is>
          <t>Lê Văn C</t>
        </is>
      </c>
      <c r="C6" s="60" t="inlineStr">
        <is>
          <t>R&amp;D</t>
        </is>
      </c>
      <c r="D6" s="60" t="inlineStr">
        <is>
          <t>Tra cứu tài liệu kỹ thuật</t>
        </is>
      </c>
      <c r="E6" s="60" t="inlineStr">
        <is>
          <t>claude-opus-4-6</t>
        </is>
      </c>
      <c r="F6" s="60" t="inlineStr">
        <is>
          <t>Upload datasheet LED → hỏi thông số kỹ thuật</t>
        </is>
      </c>
      <c r="G6" s="60" t="inlineStr">
        <is>
          <t>LED_Datasheet.pdf</t>
        </is>
      </c>
      <c r="H6" s="60" t="inlineStr">
        <is>
          <t>Trích xuất đúng thông số từ datasheet</t>
        </is>
      </c>
      <c r="I6" s="60" t="inlineStr"/>
      <c r="J6" s="60" t="inlineStr"/>
      <c r="K6" s="59" t="inlineStr"/>
      <c r="L6" s="60" t="inlineStr"/>
      <c r="M6" s="60" t="inlineStr"/>
      <c r="N6" s="60" t="inlineStr"/>
    </row>
    <row r="7" ht="45" customHeight="1">
      <c r="A7" s="61" t="n">
        <v>4</v>
      </c>
      <c r="B7" s="62" t="inlineStr">
        <is>
          <t>Phạm Thị D</t>
        </is>
      </c>
      <c r="C7" s="62" t="inlineStr">
        <is>
          <t>Nhân sự</t>
        </is>
      </c>
      <c r="D7" s="62" t="inlineStr">
        <is>
          <t>Soạn thảo văn bản</t>
        </is>
      </c>
      <c r="E7" s="62" t="inlineStr">
        <is>
          <t>gpt-5</t>
        </is>
      </c>
      <c r="F7" s="62" t="inlineStr">
        <is>
          <t>"Soạn email thông báo chính sách nghỉ phép mới cho toàn công ty"</t>
        </is>
      </c>
      <c r="G7" s="62" t="inlineStr"/>
      <c r="H7" s="62" t="inlineStr">
        <is>
          <t>Email chuyên nghiệp, đúng format, đầy đủ nội dung</t>
        </is>
      </c>
      <c r="I7" s="62" t="inlineStr"/>
      <c r="J7" s="62" t="inlineStr"/>
      <c r="K7" s="61" t="inlineStr"/>
      <c r="L7" s="62" t="inlineStr"/>
      <c r="M7" s="62" t="inlineStr"/>
      <c r="N7" s="62" t="inlineStr"/>
    </row>
    <row r="8" ht="45" customHeight="1">
      <c r="A8" s="59" t="n">
        <v>5</v>
      </c>
      <c r="B8" s="60" t="inlineStr">
        <is>
          <t>Hoàng Văn E</t>
        </is>
      </c>
      <c r="C8" s="60" t="inlineStr">
        <is>
          <t>IT</t>
        </is>
      </c>
      <c r="D8" s="60" t="inlineStr">
        <is>
          <t>Debug code</t>
        </is>
      </c>
      <c r="E8" s="60" t="inlineStr">
        <is>
          <t>grok-4.20-reasoning</t>
        </is>
      </c>
      <c r="F8" s="60" t="inlineStr">
        <is>
          <t>Gửi đoạn code lỗi Python và hỏi cách sửa</t>
        </is>
      </c>
      <c r="G8" s="60" t="inlineStr">
        <is>
          <t>error_code.py</t>
        </is>
      </c>
      <c r="H8" s="60" t="inlineStr">
        <is>
          <t>Phát hiện lỗi, đề xuất fix đúng</t>
        </is>
      </c>
      <c r="I8" s="60" t="inlineStr"/>
      <c r="J8" s="60" t="inlineStr"/>
      <c r="K8" s="59" t="inlineStr"/>
      <c r="L8" s="60" t="inlineStr"/>
      <c r="M8" s="60" t="inlineStr"/>
      <c r="N8" s="60" t="inlineStr"/>
    </row>
    <row r="9" ht="28" customHeight="1">
      <c r="A9" s="63" t="inlineStr">
        <is>
          <t>↓↓↓  ĐIỀN TEST CASE CỦA BẠN TỪ ĐÂY  ↓↓↓</t>
        </is>
      </c>
      <c r="B9" s="64" t="n"/>
      <c r="C9" s="64" t="n"/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</row>
    <row r="10" ht="40" customHeight="1">
      <c r="A10" s="65" t="n">
        <v>6</v>
      </c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5" t="n"/>
      <c r="L10" s="67" t="n"/>
      <c r="M10" s="66" t="n"/>
      <c r="N10" s="66" t="n"/>
    </row>
    <row r="11" ht="40" customHeight="1">
      <c r="A11" s="16" t="n">
        <v>7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6" t="n"/>
      <c r="L11" s="18" t="n"/>
      <c r="M11" s="17" t="n"/>
      <c r="N11" s="17" t="n"/>
    </row>
    <row r="12" ht="40" customHeight="1">
      <c r="A12" s="65" t="n">
        <v>8</v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5" t="n"/>
      <c r="L12" s="67" t="n"/>
      <c r="M12" s="66" t="n"/>
      <c r="N12" s="66" t="n"/>
    </row>
    <row r="13" ht="40" customHeight="1">
      <c r="A13" s="16" t="n">
        <v>9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6" t="n"/>
      <c r="L13" s="18" t="n"/>
      <c r="M13" s="17" t="n"/>
      <c r="N13" s="17" t="n"/>
    </row>
    <row r="14" ht="40" customHeight="1">
      <c r="A14" s="65" t="n">
        <v>10</v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5" t="n"/>
      <c r="L14" s="67" t="n"/>
      <c r="M14" s="66" t="n"/>
      <c r="N14" s="66" t="n"/>
    </row>
    <row r="15" ht="40" customHeight="1">
      <c r="A15" s="16" t="n">
        <v>11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6" t="n"/>
      <c r="L15" s="18" t="n"/>
      <c r="M15" s="17" t="n"/>
      <c r="N15" s="17" t="n"/>
    </row>
    <row r="16" ht="40" customHeight="1">
      <c r="A16" s="65" t="n">
        <v>12</v>
      </c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5" t="n"/>
      <c r="L16" s="67" t="n"/>
      <c r="M16" s="66" t="n"/>
      <c r="N16" s="66" t="n"/>
    </row>
    <row r="17" ht="40" customHeight="1">
      <c r="A17" s="16" t="n">
        <v>13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6" t="n"/>
      <c r="L17" s="18" t="n"/>
      <c r="M17" s="17" t="n"/>
      <c r="N17" s="17" t="n"/>
    </row>
    <row r="18" ht="40" customHeight="1">
      <c r="A18" s="65" t="n">
        <v>14</v>
      </c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5" t="n"/>
      <c r="L18" s="67" t="n"/>
      <c r="M18" s="66" t="n"/>
      <c r="N18" s="66" t="n"/>
    </row>
    <row r="19" ht="40" customHeight="1">
      <c r="A19" s="16" t="n">
        <v>15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6" t="n"/>
      <c r="L19" s="18" t="n"/>
      <c r="M19" s="17" t="n"/>
      <c r="N19" s="17" t="n"/>
    </row>
    <row r="20" ht="40" customHeight="1">
      <c r="A20" s="65" t="n">
        <v>16</v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5" t="n"/>
      <c r="L20" s="67" t="n"/>
      <c r="M20" s="66" t="n"/>
      <c r="N20" s="66" t="n"/>
    </row>
    <row r="21" ht="40" customHeight="1">
      <c r="A21" s="16" t="n">
        <v>17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6" t="n"/>
      <c r="L21" s="18" t="n"/>
      <c r="M21" s="17" t="n"/>
      <c r="N21" s="17" t="n"/>
    </row>
    <row r="22" ht="40" customHeight="1">
      <c r="A22" s="65" t="n">
        <v>18</v>
      </c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5" t="n"/>
      <c r="L22" s="67" t="n"/>
      <c r="M22" s="66" t="n"/>
      <c r="N22" s="66" t="n"/>
    </row>
    <row r="23" ht="40" customHeight="1">
      <c r="A23" s="16" t="n">
        <v>19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6" t="n"/>
      <c r="L23" s="18" t="n"/>
      <c r="M23" s="17" t="n"/>
      <c r="N23" s="17" t="n"/>
    </row>
    <row r="24" ht="40" customHeight="1">
      <c r="A24" s="65" t="n">
        <v>20</v>
      </c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5" t="n"/>
      <c r="L24" s="67" t="n"/>
      <c r="M24" s="66" t="n"/>
      <c r="N24" s="66" t="n"/>
    </row>
    <row r="25" ht="40" customHeight="1">
      <c r="A25" s="16" t="n">
        <v>21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6" t="n"/>
      <c r="L25" s="18" t="n"/>
      <c r="M25" s="17" t="n"/>
      <c r="N25" s="17" t="n"/>
    </row>
    <row r="26" ht="40" customHeight="1">
      <c r="A26" s="65" t="n">
        <v>22</v>
      </c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5" t="n"/>
      <c r="L26" s="67" t="n"/>
      <c r="M26" s="66" t="n"/>
      <c r="N26" s="66" t="n"/>
    </row>
    <row r="27" ht="40" customHeight="1">
      <c r="A27" s="16" t="n">
        <v>23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6" t="n"/>
      <c r="L27" s="18" t="n"/>
      <c r="M27" s="17" t="n"/>
      <c r="N27" s="17" t="n"/>
    </row>
    <row r="28" ht="40" customHeight="1">
      <c r="A28" s="65" t="n">
        <v>24</v>
      </c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5" t="n"/>
      <c r="L28" s="67" t="n"/>
      <c r="M28" s="66" t="n"/>
      <c r="N28" s="66" t="n"/>
    </row>
    <row r="29" ht="40" customHeight="1">
      <c r="A29" s="16" t="n">
        <v>25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6" t="n"/>
      <c r="L29" s="18" t="n"/>
      <c r="M29" s="17" t="n"/>
      <c r="N29" s="17" t="n"/>
    </row>
    <row r="30" ht="40" customHeight="1">
      <c r="A30" s="65" t="n">
        <v>26</v>
      </c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5" t="n"/>
      <c r="L30" s="67" t="n"/>
      <c r="M30" s="66" t="n"/>
      <c r="N30" s="66" t="n"/>
    </row>
    <row r="31" ht="40" customHeight="1">
      <c r="A31" s="16" t="n">
        <v>27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6" t="n"/>
      <c r="L31" s="18" t="n"/>
      <c r="M31" s="17" t="n"/>
      <c r="N31" s="17" t="n"/>
    </row>
    <row r="32" ht="40" customHeight="1">
      <c r="A32" s="65" t="n">
        <v>28</v>
      </c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5" t="n"/>
      <c r="L32" s="67" t="n"/>
      <c r="M32" s="66" t="n"/>
      <c r="N32" s="66" t="n"/>
    </row>
    <row r="33" ht="40" customHeight="1">
      <c r="A33" s="16" t="n">
        <v>29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6" t="n"/>
      <c r="L33" s="18" t="n"/>
      <c r="M33" s="17" t="n"/>
      <c r="N33" s="17" t="n"/>
    </row>
    <row r="34" ht="40" customHeight="1">
      <c r="A34" s="65" t="n">
        <v>30</v>
      </c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5" t="n"/>
      <c r="L34" s="67" t="n"/>
      <c r="M34" s="66" t="n"/>
      <c r="N34" s="66" t="n"/>
    </row>
    <row r="35" ht="40" customHeight="1">
      <c r="A35" s="16" t="n">
        <v>31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6" t="n"/>
      <c r="L35" s="18" t="n"/>
      <c r="M35" s="17" t="n"/>
      <c r="N35" s="17" t="n"/>
    </row>
    <row r="36" ht="40" customHeight="1">
      <c r="A36" s="65" t="n">
        <v>32</v>
      </c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5" t="n"/>
      <c r="L36" s="67" t="n"/>
      <c r="M36" s="66" t="n"/>
      <c r="N36" s="66" t="n"/>
    </row>
    <row r="37" ht="40" customHeight="1">
      <c r="A37" s="16" t="n">
        <v>33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6" t="n"/>
      <c r="L37" s="18" t="n"/>
      <c r="M37" s="17" t="n"/>
      <c r="N37" s="17" t="n"/>
    </row>
    <row r="38" ht="40" customHeight="1">
      <c r="A38" s="65" t="n">
        <v>34</v>
      </c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5" t="n"/>
      <c r="L38" s="67" t="n"/>
      <c r="M38" s="66" t="n"/>
      <c r="N38" s="66" t="n"/>
    </row>
    <row r="39" ht="40" customHeight="1">
      <c r="A39" s="16" t="n">
        <v>35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6" t="n"/>
      <c r="L39" s="18" t="n"/>
      <c r="M39" s="17" t="n"/>
      <c r="N39" s="17" t="n"/>
    </row>
    <row r="40" ht="40" customHeight="1">
      <c r="A40" s="65" t="n">
        <v>36</v>
      </c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5" t="n"/>
      <c r="L40" s="67" t="n"/>
      <c r="M40" s="66" t="n"/>
      <c r="N40" s="66" t="n"/>
    </row>
    <row r="41" ht="40" customHeight="1">
      <c r="A41" s="16" t="n">
        <v>37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6" t="n"/>
      <c r="L41" s="18" t="n"/>
      <c r="M41" s="17" t="n"/>
      <c r="N41" s="17" t="n"/>
    </row>
    <row r="42" ht="40" customHeight="1">
      <c r="A42" s="65" t="n">
        <v>38</v>
      </c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5" t="n"/>
      <c r="L42" s="67" t="n"/>
      <c r="M42" s="66" t="n"/>
      <c r="N42" s="66" t="n"/>
    </row>
    <row r="43" ht="40" customHeight="1">
      <c r="A43" s="16" t="n">
        <v>39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6" t="n"/>
      <c r="L43" s="18" t="n"/>
      <c r="M43" s="17" t="n"/>
      <c r="N43" s="17" t="n"/>
    </row>
    <row r="44" ht="40" customHeight="1">
      <c r="A44" s="65" t="n">
        <v>40</v>
      </c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5" t="n"/>
      <c r="L44" s="67" t="n"/>
      <c r="M44" s="66" t="n"/>
      <c r="N44" s="66" t="n"/>
    </row>
    <row r="45" ht="40" customHeight="1">
      <c r="A45" s="16" t="n">
        <v>41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6" t="n"/>
      <c r="L45" s="18" t="n"/>
      <c r="M45" s="17" t="n"/>
      <c r="N45" s="17" t="n"/>
    </row>
    <row r="46" ht="40" customHeight="1">
      <c r="A46" s="65" t="n">
        <v>42</v>
      </c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5" t="n"/>
      <c r="L46" s="67" t="n"/>
      <c r="M46" s="66" t="n"/>
      <c r="N46" s="66" t="n"/>
    </row>
    <row r="47" ht="40" customHeight="1">
      <c r="A47" s="16" t="n">
        <v>43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6" t="n"/>
      <c r="L47" s="18" t="n"/>
      <c r="M47" s="17" t="n"/>
      <c r="N47" s="17" t="n"/>
    </row>
    <row r="48" ht="40" customHeight="1">
      <c r="A48" s="65" t="n">
        <v>44</v>
      </c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5" t="n"/>
      <c r="L48" s="67" t="n"/>
      <c r="M48" s="66" t="n"/>
      <c r="N48" s="66" t="n"/>
    </row>
    <row r="49" ht="40" customHeight="1">
      <c r="A49" s="16" t="n">
        <v>45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6" t="n"/>
      <c r="L49" s="18" t="n"/>
      <c r="M49" s="17" t="n"/>
      <c r="N49" s="17" t="n"/>
    </row>
    <row r="50" ht="40" customHeight="1">
      <c r="A50" s="65" t="n">
        <v>46</v>
      </c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5" t="n"/>
      <c r="L50" s="67" t="n"/>
      <c r="M50" s="66" t="n"/>
      <c r="N50" s="66" t="n"/>
    </row>
    <row r="51" ht="40" customHeight="1">
      <c r="A51" s="16" t="n">
        <v>47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6" t="n"/>
      <c r="L51" s="18" t="n"/>
      <c r="M51" s="17" t="n"/>
      <c r="N51" s="17" t="n"/>
    </row>
    <row r="52" ht="40" customHeight="1">
      <c r="A52" s="65" t="n">
        <v>48</v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5" t="n"/>
      <c r="L52" s="67" t="n"/>
      <c r="M52" s="66" t="n"/>
      <c r="N52" s="66" t="n"/>
    </row>
    <row r="53" ht="40" customHeight="1">
      <c r="A53" s="16" t="n">
        <v>49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6" t="n"/>
      <c r="L53" s="18" t="n"/>
      <c r="M53" s="17" t="n"/>
      <c r="N53" s="17" t="n"/>
    </row>
    <row r="54" ht="40" customHeight="1">
      <c r="A54" s="65" t="n">
        <v>50</v>
      </c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5" t="n"/>
      <c r="L54" s="67" t="n"/>
      <c r="M54" s="66" t="n"/>
      <c r="N54" s="66" t="n"/>
    </row>
    <row r="55" ht="40" customHeight="1">
      <c r="A55" s="16" t="n">
        <v>51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6" t="n"/>
      <c r="L55" s="18" t="n"/>
      <c r="M55" s="17" t="n"/>
      <c r="N55" s="17" t="n"/>
    </row>
    <row r="56" ht="40" customHeight="1">
      <c r="A56" s="65" t="n">
        <v>52</v>
      </c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5" t="n"/>
      <c r="L56" s="67" t="n"/>
      <c r="M56" s="66" t="n"/>
      <c r="N56" s="66" t="n"/>
    </row>
    <row r="57" ht="40" customHeight="1">
      <c r="A57" s="16" t="n">
        <v>53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6" t="n"/>
      <c r="L57" s="18" t="n"/>
      <c r="M57" s="17" t="n"/>
      <c r="N57" s="17" t="n"/>
    </row>
    <row r="58" ht="40" customHeight="1">
      <c r="A58" s="65" t="n">
        <v>54</v>
      </c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5" t="n"/>
      <c r="L58" s="67" t="n"/>
      <c r="M58" s="66" t="n"/>
      <c r="N58" s="66" t="n"/>
    </row>
    <row r="59" ht="40" customHeight="1">
      <c r="A59" s="16" t="n">
        <v>55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6" t="n"/>
      <c r="L59" s="18" t="n"/>
      <c r="M59" s="17" t="n"/>
      <c r="N59" s="17" t="n"/>
    </row>
  </sheetData>
  <autoFilter ref="A3:N59"/>
  <mergeCells count="3">
    <mergeCell ref="A9:N9"/>
    <mergeCell ref="A2:N2"/>
    <mergeCell ref="A1:N1"/>
  </mergeCells>
  <conditionalFormatting sqref="K4:K5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</conditionalFormatting>
  <dataValidations count="1">
    <dataValidation sqref="K4:K59" showDropDown="0" showInputMessage="0" showErrorMessage="0" allowBlank="1" type="list">
      <formula1>"PASS,FAIL,PARTIAL,SKIP"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4B2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 ht="36" customHeight="1">
      <c r="A1" s="1" t="inlineStr">
        <is>
          <t>BẢNG TỔNG HỢP KẾT QUẢ KIỂM THỬ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8" t="inlineStr">
        <is>
          <t>Dữ liệu tự động tính từ sheet "Form Test Tính Năng" bằng COUNTIFS</t>
        </is>
      </c>
    </row>
    <row r="3" ht="28" customHeight="1">
      <c r="A3" s="9" t="inlineStr">
        <is>
          <t>STT</t>
        </is>
      </c>
      <c r="B3" s="9" t="inlineStr">
        <is>
          <t>Phân hệ</t>
        </is>
      </c>
      <c r="C3" s="9" t="inlineStr">
        <is>
          <t>Nhóm tính năng</t>
        </is>
      </c>
      <c r="D3" s="9" t="inlineStr">
        <is>
          <t>Tổng TC</t>
        </is>
      </c>
      <c r="E3" s="9" t="inlineStr">
        <is>
          <t>PASS</t>
        </is>
      </c>
      <c r="F3" s="9" t="inlineStr">
        <is>
          <t>FAIL</t>
        </is>
      </c>
      <c r="G3" s="9" t="inlineStr">
        <is>
          <t>PARTIAL</t>
        </is>
      </c>
      <c r="H3" s="9" t="inlineStr">
        <is>
          <t>SKIP</t>
        </is>
      </c>
      <c r="I3" s="9" t="inlineStr">
        <is>
          <t>Tỷ lệ PASS (%)</t>
        </is>
      </c>
    </row>
    <row r="4" ht="24" customHeight="1">
      <c r="A4" s="13" t="n">
        <v>1</v>
      </c>
      <c r="B4" s="13" t="inlineStr">
        <is>
          <t>USER</t>
        </is>
      </c>
      <c r="C4" s="14" t="inlineStr">
        <is>
          <t>Hỏi đáp (Chat AI)</t>
        </is>
      </c>
      <c r="D4" s="68">
        <f>COUNTIFS('Form Test Tính Năng'!C$4:C$158,"Hỏi đáp (Chat AI)")</f>
        <v/>
      </c>
      <c r="E4" s="69">
        <f>COUNTIFS('Form Test Tính Năng'!C$4:C$158,"Hỏi đáp (Chat AI)",'Form Test Tính Năng'!I$4:I$158,"PASS")</f>
        <v/>
      </c>
      <c r="F4" s="70">
        <f>COUNTIFS('Form Test Tính Năng'!C$4:C$158,"Hỏi đáp (Chat AI)",'Form Test Tính Năng'!I$4:I$158,"FAIL")</f>
        <v/>
      </c>
      <c r="G4" s="71">
        <f>COUNTIFS('Form Test Tính Năng'!C$4:C$158,"Hỏi đáp (Chat AI)",'Form Test Tính Năng'!I$4:I$158,"PARTIAL")</f>
        <v/>
      </c>
      <c r="H4" s="72">
        <f>COUNTIFS('Form Test Tính Năng'!C$4:C$158,"Hỏi đáp (Chat AI)",'Form Test Tính Năng'!I$4:I$158,"SKIP")</f>
        <v/>
      </c>
      <c r="I4" s="73">
        <f>IF(D4=0,"",E4/D4)</f>
        <v/>
      </c>
    </row>
    <row r="5" ht="24" customHeight="1">
      <c r="A5" s="16" t="n">
        <v>2</v>
      </c>
      <c r="B5" s="16" t="inlineStr">
        <is>
          <t>USER</t>
        </is>
      </c>
      <c r="C5" s="17" t="inlineStr">
        <is>
          <t>Tạo ảnh AI</t>
        </is>
      </c>
      <c r="D5" s="74">
        <f>COUNTIFS('Form Test Tính Năng'!C$4:C$158,"Tạo ảnh AI")</f>
        <v/>
      </c>
      <c r="E5" s="69">
        <f>COUNTIFS('Form Test Tính Năng'!C$4:C$158,"Tạo ảnh AI",'Form Test Tính Năng'!I$4:I$158,"PASS")</f>
        <v/>
      </c>
      <c r="F5" s="70">
        <f>COUNTIFS('Form Test Tính Năng'!C$4:C$158,"Tạo ảnh AI",'Form Test Tính Năng'!I$4:I$158,"FAIL")</f>
        <v/>
      </c>
      <c r="G5" s="71">
        <f>COUNTIFS('Form Test Tính Năng'!C$4:C$158,"Tạo ảnh AI",'Form Test Tính Năng'!I$4:I$158,"PARTIAL")</f>
        <v/>
      </c>
      <c r="H5" s="72">
        <f>COUNTIFS('Form Test Tính Năng'!C$4:C$158,"Tạo ảnh AI",'Form Test Tính Năng'!I$4:I$158,"SKIP")</f>
        <v/>
      </c>
      <c r="I5" s="75">
        <f>IF(D5=0,"",E5/D5)</f>
        <v/>
      </c>
    </row>
    <row r="6" ht="24" customHeight="1">
      <c r="A6" s="13" t="n">
        <v>3</v>
      </c>
      <c r="B6" s="13" t="inlineStr">
        <is>
          <t>USER</t>
        </is>
      </c>
      <c r="C6" s="14" t="inlineStr">
        <is>
          <t>Gửi file &amp; truy xuất</t>
        </is>
      </c>
      <c r="D6" s="68">
        <f>COUNTIFS('Form Test Tính Năng'!C$4:C$158,"Gửi file &amp; truy xuất")</f>
        <v/>
      </c>
      <c r="E6" s="69">
        <f>COUNTIFS('Form Test Tính Năng'!C$4:C$158,"Gửi file &amp; truy xuất",'Form Test Tính Năng'!I$4:I$158,"PASS")</f>
        <v/>
      </c>
      <c r="F6" s="70">
        <f>COUNTIFS('Form Test Tính Năng'!C$4:C$158,"Gửi file &amp; truy xuất",'Form Test Tính Năng'!I$4:I$158,"FAIL")</f>
        <v/>
      </c>
      <c r="G6" s="71">
        <f>COUNTIFS('Form Test Tính Năng'!C$4:C$158,"Gửi file &amp; truy xuất",'Form Test Tính Năng'!I$4:I$158,"PARTIAL")</f>
        <v/>
      </c>
      <c r="H6" s="72">
        <f>COUNTIFS('Form Test Tính Năng'!C$4:C$158,"Gửi file &amp; truy xuất",'Form Test Tính Năng'!I$4:I$158,"SKIP")</f>
        <v/>
      </c>
      <c r="I6" s="73">
        <f>IF(D6=0,"",E6/D6)</f>
        <v/>
      </c>
    </row>
    <row r="7" ht="24" customHeight="1">
      <c r="A7" s="16" t="n">
        <v>4</v>
      </c>
      <c r="B7" s="16" t="inlineStr">
        <is>
          <t>USER</t>
        </is>
      </c>
      <c r="C7" s="17" t="inlineStr">
        <is>
          <t>Chọn Model</t>
        </is>
      </c>
      <c r="D7" s="74">
        <f>COUNTIFS('Form Test Tính Năng'!C$4:C$158,"Chọn Model")</f>
        <v/>
      </c>
      <c r="E7" s="69">
        <f>COUNTIFS('Form Test Tính Năng'!C$4:C$158,"Chọn Model",'Form Test Tính Năng'!I$4:I$158,"PASS")</f>
        <v/>
      </c>
      <c r="F7" s="70">
        <f>COUNTIFS('Form Test Tính Năng'!C$4:C$158,"Chọn Model",'Form Test Tính Năng'!I$4:I$158,"FAIL")</f>
        <v/>
      </c>
      <c r="G7" s="71">
        <f>COUNTIFS('Form Test Tính Năng'!C$4:C$158,"Chọn Model",'Form Test Tính Năng'!I$4:I$158,"PARTIAL")</f>
        <v/>
      </c>
      <c r="H7" s="72">
        <f>COUNTIFS('Form Test Tính Năng'!C$4:C$158,"Chọn Model",'Form Test Tính Năng'!I$4:I$158,"SKIP")</f>
        <v/>
      </c>
      <c r="I7" s="75">
        <f>IF(D7=0,"",E7/D7)</f>
        <v/>
      </c>
    </row>
    <row r="8" ht="24" customHeight="1">
      <c r="A8" s="13" t="n">
        <v>5</v>
      </c>
      <c r="B8" s="13" t="inlineStr">
        <is>
          <t>USER</t>
        </is>
      </c>
      <c r="C8" s="14" t="inlineStr">
        <is>
          <t>Kho kiến thức</t>
        </is>
      </c>
      <c r="D8" s="68">
        <f>COUNTIFS('Form Test Tính Năng'!C$4:C$158,"Kho kiến thức")</f>
        <v/>
      </c>
      <c r="E8" s="69">
        <f>COUNTIFS('Form Test Tính Năng'!C$4:C$158,"Kho kiến thức",'Form Test Tính Năng'!I$4:I$158,"PASS")</f>
        <v/>
      </c>
      <c r="F8" s="70">
        <f>COUNTIFS('Form Test Tính Năng'!C$4:C$158,"Kho kiến thức",'Form Test Tính Năng'!I$4:I$158,"FAIL")</f>
        <v/>
      </c>
      <c r="G8" s="71">
        <f>COUNTIFS('Form Test Tính Năng'!C$4:C$158,"Kho kiến thức",'Form Test Tính Năng'!I$4:I$158,"PARTIAL")</f>
        <v/>
      </c>
      <c r="H8" s="72">
        <f>COUNTIFS('Form Test Tính Năng'!C$4:C$158,"Kho kiến thức",'Form Test Tính Năng'!I$4:I$158,"SKIP")</f>
        <v/>
      </c>
      <c r="I8" s="73">
        <f>IF(D8=0,"",E8/D8)</f>
        <v/>
      </c>
    </row>
    <row r="9" ht="24" customHeight="1">
      <c r="A9" s="16" t="n">
        <v>6</v>
      </c>
      <c r="B9" s="16" t="inlineStr">
        <is>
          <t>USER</t>
        </is>
      </c>
      <c r="C9" s="17" t="inlineStr">
        <is>
          <t>Không gian làm việc</t>
        </is>
      </c>
      <c r="D9" s="74">
        <f>COUNTIFS('Form Test Tính Năng'!C$4:C$158,"Không gian làm việc")</f>
        <v/>
      </c>
      <c r="E9" s="69">
        <f>COUNTIFS('Form Test Tính Năng'!C$4:C$158,"Không gian làm việc",'Form Test Tính Năng'!I$4:I$158,"PASS")</f>
        <v/>
      </c>
      <c r="F9" s="70">
        <f>COUNTIFS('Form Test Tính Năng'!C$4:C$158,"Không gian làm việc",'Form Test Tính Năng'!I$4:I$158,"FAIL")</f>
        <v/>
      </c>
      <c r="G9" s="71">
        <f>COUNTIFS('Form Test Tính Năng'!C$4:C$158,"Không gian làm việc",'Form Test Tính Năng'!I$4:I$158,"PARTIAL")</f>
        <v/>
      </c>
      <c r="H9" s="72">
        <f>COUNTIFS('Form Test Tính Năng'!C$4:C$158,"Không gian làm việc",'Form Test Tính Năng'!I$4:I$158,"SKIP")</f>
        <v/>
      </c>
      <c r="I9" s="75">
        <f>IF(D9=0,"",E9/D9)</f>
        <v/>
      </c>
    </row>
    <row r="10" ht="24" customHeight="1">
      <c r="A10" s="13" t="n">
        <v>7</v>
      </c>
      <c r="B10" s="13" t="inlineStr">
        <is>
          <t>USER</t>
        </is>
      </c>
      <c r="C10" s="14" t="inlineStr">
        <is>
          <t>Giọng nói</t>
        </is>
      </c>
      <c r="D10" s="68">
        <f>COUNTIFS('Form Test Tính Năng'!C$4:C$158,"Giọng nói")</f>
        <v/>
      </c>
      <c r="E10" s="69">
        <f>COUNTIFS('Form Test Tính Năng'!C$4:C$158,"Giọng nói",'Form Test Tính Năng'!I$4:I$158,"PASS")</f>
        <v/>
      </c>
      <c r="F10" s="70">
        <f>COUNTIFS('Form Test Tính Năng'!C$4:C$158,"Giọng nói",'Form Test Tính Năng'!I$4:I$158,"FAIL")</f>
        <v/>
      </c>
      <c r="G10" s="71">
        <f>COUNTIFS('Form Test Tính Năng'!C$4:C$158,"Giọng nói",'Form Test Tính Năng'!I$4:I$158,"PARTIAL")</f>
        <v/>
      </c>
      <c r="H10" s="72">
        <f>COUNTIFS('Form Test Tính Năng'!C$4:C$158,"Giọng nói",'Form Test Tính Năng'!I$4:I$158,"SKIP")</f>
        <v/>
      </c>
      <c r="I10" s="73">
        <f>IF(D10=0,"",E10/D10)</f>
        <v/>
      </c>
    </row>
    <row r="11" ht="24" customHeight="1">
      <c r="A11" s="16" t="n">
        <v>8</v>
      </c>
      <c r="B11" s="16" t="inlineStr">
        <is>
          <t>USER</t>
        </is>
      </c>
      <c r="C11" s="17" t="inlineStr">
        <is>
          <t>Tìm kiếm Web</t>
        </is>
      </c>
      <c r="D11" s="74">
        <f>COUNTIFS('Form Test Tính Năng'!C$4:C$158,"Tìm kiếm Web")</f>
        <v/>
      </c>
      <c r="E11" s="69">
        <f>COUNTIFS('Form Test Tính Năng'!C$4:C$158,"Tìm kiếm Web",'Form Test Tính Năng'!I$4:I$158,"PASS")</f>
        <v/>
      </c>
      <c r="F11" s="70">
        <f>COUNTIFS('Form Test Tính Năng'!C$4:C$158,"Tìm kiếm Web",'Form Test Tính Năng'!I$4:I$158,"FAIL")</f>
        <v/>
      </c>
      <c r="G11" s="71">
        <f>COUNTIFS('Form Test Tính Năng'!C$4:C$158,"Tìm kiếm Web",'Form Test Tính Năng'!I$4:I$158,"PARTIAL")</f>
        <v/>
      </c>
      <c r="H11" s="72">
        <f>COUNTIFS('Form Test Tính Năng'!C$4:C$158,"Tìm kiếm Web",'Form Test Tính Năng'!I$4:I$158,"SKIP")</f>
        <v/>
      </c>
      <c r="I11" s="75">
        <f>IF(D11=0,"",E11/D11)</f>
        <v/>
      </c>
    </row>
    <row r="12" ht="24" customHeight="1">
      <c r="A12" s="13" t="n">
        <v>9</v>
      </c>
      <c r="B12" s="13" t="inlineStr">
        <is>
          <t>USER</t>
        </is>
      </c>
      <c r="C12" s="14" t="inlineStr">
        <is>
          <t>Giao diện &amp; Cá nhân hóa</t>
        </is>
      </c>
      <c r="D12" s="68">
        <f>COUNTIFS('Form Test Tính Năng'!C$4:C$158,"Giao diện &amp; Cá nhân hóa")</f>
        <v/>
      </c>
      <c r="E12" s="69">
        <f>COUNTIFS('Form Test Tính Năng'!C$4:C$158,"Giao diện &amp; Cá nhân hóa",'Form Test Tính Năng'!I$4:I$158,"PASS")</f>
        <v/>
      </c>
      <c r="F12" s="70">
        <f>COUNTIFS('Form Test Tính Năng'!C$4:C$158,"Giao diện &amp; Cá nhân hóa",'Form Test Tính Năng'!I$4:I$158,"FAIL")</f>
        <v/>
      </c>
      <c r="G12" s="71">
        <f>COUNTIFS('Form Test Tính Năng'!C$4:C$158,"Giao diện &amp; Cá nhân hóa",'Form Test Tính Năng'!I$4:I$158,"PARTIAL")</f>
        <v/>
      </c>
      <c r="H12" s="72">
        <f>COUNTIFS('Form Test Tính Năng'!C$4:C$158,"Giao diện &amp; Cá nhân hóa",'Form Test Tính Năng'!I$4:I$158,"SKIP")</f>
        <v/>
      </c>
      <c r="I12" s="73">
        <f>IF(D12=0,"",E12/D12)</f>
        <v/>
      </c>
    </row>
    <row r="13" ht="24" customHeight="1">
      <c r="A13" s="16" t="n">
        <v>10</v>
      </c>
      <c r="B13" s="16" t="inlineStr">
        <is>
          <t>ADMIN</t>
        </is>
      </c>
      <c r="C13" s="17" t="inlineStr">
        <is>
          <t>Quản lý người dùng</t>
        </is>
      </c>
      <c r="D13" s="74">
        <f>COUNTIFS('Form Test Tính Năng'!C$4:C$158,"Quản lý người dùng")</f>
        <v/>
      </c>
      <c r="E13" s="69">
        <f>COUNTIFS('Form Test Tính Năng'!C$4:C$158,"Quản lý người dùng",'Form Test Tính Năng'!I$4:I$158,"PASS")</f>
        <v/>
      </c>
      <c r="F13" s="70">
        <f>COUNTIFS('Form Test Tính Năng'!C$4:C$158,"Quản lý người dùng",'Form Test Tính Năng'!I$4:I$158,"FAIL")</f>
        <v/>
      </c>
      <c r="G13" s="71">
        <f>COUNTIFS('Form Test Tính Năng'!C$4:C$158,"Quản lý người dùng",'Form Test Tính Năng'!I$4:I$158,"PARTIAL")</f>
        <v/>
      </c>
      <c r="H13" s="72">
        <f>COUNTIFS('Form Test Tính Năng'!C$4:C$158,"Quản lý người dùng",'Form Test Tính Năng'!I$4:I$158,"SKIP")</f>
        <v/>
      </c>
      <c r="I13" s="75">
        <f>IF(D13=0,"",E13/D13)</f>
        <v/>
      </c>
    </row>
    <row r="14" ht="24" customHeight="1">
      <c r="A14" s="13" t="n">
        <v>11</v>
      </c>
      <c r="B14" s="13" t="inlineStr">
        <is>
          <t>ADMIN</t>
        </is>
      </c>
      <c r="C14" s="14" t="inlineStr">
        <is>
          <t>Quản lý Model</t>
        </is>
      </c>
      <c r="D14" s="68">
        <f>COUNTIFS('Form Test Tính Năng'!C$4:C$158,"Quản lý Model")</f>
        <v/>
      </c>
      <c r="E14" s="69">
        <f>COUNTIFS('Form Test Tính Năng'!C$4:C$158,"Quản lý Model",'Form Test Tính Năng'!I$4:I$158,"PASS")</f>
        <v/>
      </c>
      <c r="F14" s="70">
        <f>COUNTIFS('Form Test Tính Năng'!C$4:C$158,"Quản lý Model",'Form Test Tính Năng'!I$4:I$158,"FAIL")</f>
        <v/>
      </c>
      <c r="G14" s="71">
        <f>COUNTIFS('Form Test Tính Năng'!C$4:C$158,"Quản lý Model",'Form Test Tính Năng'!I$4:I$158,"PARTIAL")</f>
        <v/>
      </c>
      <c r="H14" s="72">
        <f>COUNTIFS('Form Test Tính Năng'!C$4:C$158,"Quản lý Model",'Form Test Tính Năng'!I$4:I$158,"SKIP")</f>
        <v/>
      </c>
      <c r="I14" s="73">
        <f>IF(D14=0,"",E14/D14)</f>
        <v/>
      </c>
    </row>
    <row r="15" ht="24" customHeight="1">
      <c r="A15" s="16" t="n">
        <v>12</v>
      </c>
      <c r="B15" s="16" t="inlineStr">
        <is>
          <t>ADMIN</t>
        </is>
      </c>
      <c r="C15" s="17" t="inlineStr">
        <is>
          <t>Dashboard &amp; Giám sát</t>
        </is>
      </c>
      <c r="D15" s="74">
        <f>COUNTIFS('Form Test Tính Năng'!C$4:C$158,"Dashboard &amp; Giám sát")</f>
        <v/>
      </c>
      <c r="E15" s="69">
        <f>COUNTIFS('Form Test Tính Năng'!C$4:C$158,"Dashboard &amp; Giám sát",'Form Test Tính Năng'!I$4:I$158,"PASS")</f>
        <v/>
      </c>
      <c r="F15" s="70">
        <f>COUNTIFS('Form Test Tính Năng'!C$4:C$158,"Dashboard &amp; Giám sát",'Form Test Tính Năng'!I$4:I$158,"FAIL")</f>
        <v/>
      </c>
      <c r="G15" s="71">
        <f>COUNTIFS('Form Test Tính Năng'!C$4:C$158,"Dashboard &amp; Giám sát",'Form Test Tính Năng'!I$4:I$158,"PARTIAL")</f>
        <v/>
      </c>
      <c r="H15" s="72">
        <f>COUNTIFS('Form Test Tính Năng'!C$4:C$158,"Dashboard &amp; Giám sát",'Form Test Tính Năng'!I$4:I$158,"SKIP")</f>
        <v/>
      </c>
      <c r="I15" s="75">
        <f>IF(D15=0,"",E15/D15)</f>
        <v/>
      </c>
    </row>
    <row r="16" ht="24" customHeight="1">
      <c r="A16" s="13" t="n">
        <v>13</v>
      </c>
      <c r="B16" s="13" t="inlineStr">
        <is>
          <t>ADMIN</t>
        </is>
      </c>
      <c r="C16" s="14" t="inlineStr">
        <is>
          <t>Quota &amp; Chi phí</t>
        </is>
      </c>
      <c r="D16" s="68">
        <f>COUNTIFS('Form Test Tính Năng'!C$4:C$158,"Quota &amp; Chi phí")</f>
        <v/>
      </c>
      <c r="E16" s="69">
        <f>COUNTIFS('Form Test Tính Năng'!C$4:C$158,"Quota &amp; Chi phí",'Form Test Tính Năng'!I$4:I$158,"PASS")</f>
        <v/>
      </c>
      <c r="F16" s="70">
        <f>COUNTIFS('Form Test Tính Năng'!C$4:C$158,"Quota &amp; Chi phí",'Form Test Tính Năng'!I$4:I$158,"FAIL")</f>
        <v/>
      </c>
      <c r="G16" s="71">
        <f>COUNTIFS('Form Test Tính Năng'!C$4:C$158,"Quota &amp; Chi phí",'Form Test Tính Năng'!I$4:I$158,"PARTIAL")</f>
        <v/>
      </c>
      <c r="H16" s="72">
        <f>COUNTIFS('Form Test Tính Năng'!C$4:C$158,"Quota &amp; Chi phí",'Form Test Tính Năng'!I$4:I$158,"SKIP")</f>
        <v/>
      </c>
      <c r="I16" s="73">
        <f>IF(D16=0,"",E16/D16)</f>
        <v/>
      </c>
    </row>
    <row r="17" ht="24" customHeight="1">
      <c r="A17" s="16" t="n">
        <v>14</v>
      </c>
      <c r="B17" s="16" t="inlineStr">
        <is>
          <t>ADMIN</t>
        </is>
      </c>
      <c r="C17" s="17" t="inlineStr">
        <is>
          <t>Cấu hình hệ thống</t>
        </is>
      </c>
      <c r="D17" s="74">
        <f>COUNTIFS('Form Test Tính Năng'!C$4:C$158,"Cấu hình hệ thống")</f>
        <v/>
      </c>
      <c r="E17" s="69">
        <f>COUNTIFS('Form Test Tính Năng'!C$4:C$158,"Cấu hình hệ thống",'Form Test Tính Năng'!I$4:I$158,"PASS")</f>
        <v/>
      </c>
      <c r="F17" s="70">
        <f>COUNTIFS('Form Test Tính Năng'!C$4:C$158,"Cấu hình hệ thống",'Form Test Tính Năng'!I$4:I$158,"FAIL")</f>
        <v/>
      </c>
      <c r="G17" s="71">
        <f>COUNTIFS('Form Test Tính Năng'!C$4:C$158,"Cấu hình hệ thống",'Form Test Tính Năng'!I$4:I$158,"PARTIAL")</f>
        <v/>
      </c>
      <c r="H17" s="72">
        <f>COUNTIFS('Form Test Tính Năng'!C$4:C$158,"Cấu hình hệ thống",'Form Test Tính Năng'!I$4:I$158,"SKIP")</f>
        <v/>
      </c>
      <c r="I17" s="75">
        <f>IF(D17=0,"",E17/D17)</f>
        <v/>
      </c>
    </row>
    <row r="18" ht="30" customHeight="1">
      <c r="A18" s="76" t="inlineStr">
        <is>
          <t>TỔNG CỘNG</t>
        </is>
      </c>
      <c r="B18" s="77" t="n"/>
      <c r="C18" s="77" t="n"/>
      <c r="D18" s="76">
        <f>SUM(D4:D17)</f>
        <v/>
      </c>
      <c r="E18" s="76">
        <f>SUM(E4:E17)</f>
        <v/>
      </c>
      <c r="F18" s="76">
        <f>SUM(F4:F17)</f>
        <v/>
      </c>
      <c r="G18" s="76">
        <f>SUM(G4:G17)</f>
        <v/>
      </c>
      <c r="H18" s="76">
        <f>SUM(H4:H17)</f>
        <v/>
      </c>
      <c r="I18" s="78">
        <f>IF(D18=0,"",E18/D18)</f>
        <v/>
      </c>
    </row>
    <row r="20">
      <c r="A20" s="3" t="inlineStr">
        <is>
          <t>THÔNG TIN NGƯỜI TEST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0" customHeight="1">
      <c r="A21" s="79" t="inlineStr">
        <is>
          <t>Họ và tên</t>
        </is>
      </c>
      <c r="D21" s="80" t="inlineStr"/>
      <c r="E21" s="81" t="n"/>
      <c r="F21" s="81" t="n"/>
      <c r="G21" s="81" t="n"/>
      <c r="H21" s="81" t="n"/>
      <c r="I21" s="81" t="n"/>
    </row>
    <row r="22" ht="30" customHeight="1">
      <c r="A22" s="79" t="inlineStr">
        <is>
          <t>Phòng ban</t>
        </is>
      </c>
      <c r="D22" s="80" t="inlineStr"/>
      <c r="E22" s="81" t="n"/>
      <c r="F22" s="81" t="n"/>
      <c r="G22" s="81" t="n"/>
      <c r="H22" s="81" t="n"/>
      <c r="I22" s="81" t="n"/>
    </row>
    <row r="23" ht="30" customHeight="1">
      <c r="A23" s="79" t="inlineStr">
        <is>
          <t>Ngày test</t>
        </is>
      </c>
      <c r="D23" s="80" t="inlineStr"/>
      <c r="E23" s="81" t="n"/>
      <c r="F23" s="81" t="n"/>
      <c r="G23" s="81" t="n"/>
      <c r="H23" s="81" t="n"/>
      <c r="I23" s="81" t="n"/>
    </row>
    <row r="24" ht="30" customHeight="1">
      <c r="A24" s="79" t="inlineStr">
        <is>
          <t>Trình duyệt (Chrome/Edge/Firefox)</t>
        </is>
      </c>
      <c r="D24" s="80" t="inlineStr"/>
      <c r="E24" s="81" t="n"/>
      <c r="F24" s="81" t="n"/>
      <c r="G24" s="81" t="n"/>
      <c r="H24" s="81" t="n"/>
      <c r="I24" s="81" t="n"/>
    </row>
    <row r="25" ht="30" customHeight="1">
      <c r="A25" s="79" t="inlineStr">
        <is>
          <t>Thiết bị (PC/Laptop/Mobile)</t>
        </is>
      </c>
      <c r="D25" s="80" t="inlineStr"/>
      <c r="E25" s="81" t="n"/>
      <c r="F25" s="81" t="n"/>
      <c r="G25" s="81" t="n"/>
      <c r="H25" s="81" t="n"/>
      <c r="I25" s="81" t="n"/>
    </row>
    <row r="26" ht="30" customHeight="1">
      <c r="A26" s="79" t="inlineStr">
        <is>
          <t>Nhận xét chung</t>
        </is>
      </c>
      <c r="D26" s="80" t="inlineStr"/>
      <c r="E26" s="81" t="n"/>
      <c r="F26" s="81" t="n"/>
      <c r="G26" s="81" t="n"/>
      <c r="H26" s="81" t="n"/>
      <c r="I26" s="81" t="n"/>
    </row>
    <row r="27" ht="30" customHeight="1">
      <c r="A27" s="79" t="inlineStr">
        <is>
          <t>Đề xuất cải thiện tổng thể</t>
        </is>
      </c>
      <c r="D27" s="80" t="inlineStr"/>
      <c r="E27" s="81" t="n"/>
      <c r="F27" s="81" t="n"/>
      <c r="G27" s="81" t="n"/>
      <c r="H27" s="81" t="n"/>
      <c r="I27" s="81" t="n"/>
    </row>
  </sheetData>
  <mergeCells count="18">
    <mergeCell ref="A25:C25"/>
    <mergeCell ref="D24:I24"/>
    <mergeCell ref="D27:I27"/>
    <mergeCell ref="A2:I2"/>
    <mergeCell ref="A23:C23"/>
    <mergeCell ref="D22:I22"/>
    <mergeCell ref="D23:I23"/>
    <mergeCell ref="A22:C22"/>
    <mergeCell ref="A1:I1"/>
    <mergeCell ref="A18:C18"/>
    <mergeCell ref="D21:I21"/>
    <mergeCell ref="A24:C24"/>
    <mergeCell ref="A27:C27"/>
    <mergeCell ref="A21:C21"/>
    <mergeCell ref="D26:I26"/>
    <mergeCell ref="A26:C26"/>
    <mergeCell ref="A20:I20"/>
    <mergeCell ref="D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2026-04-13T06:22:05Z</dcterms:created>
  <dcterms:modified xmlns:dcterms="http://purl.org/dc/terms/" xmlns:xsi="http://www.w3.org/2001/XMLSchema-instance" xsi:type="dcterms:W3CDTF">2026-04-13T06:22:06Z</dcterms:modified>
</cp:coreProperties>
</file>